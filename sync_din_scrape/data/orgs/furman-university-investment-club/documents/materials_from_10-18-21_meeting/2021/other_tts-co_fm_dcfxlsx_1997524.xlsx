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kapoor\Desktop\"/>
    </mc:Choice>
  </mc:AlternateContent>
  <bookViews>
    <workbookView xWindow="0" yWindow="0" windowWidth="20490" windowHeight="7155" firstSheet="4" activeTab="8"/>
  </bookViews>
  <sheets>
    <sheet name="TTS" sheetId="16" r:id="rId1"/>
    <sheet name="INPUTS" sheetId="12" r:id="rId2"/>
    <sheet name="Overview" sheetId="8" r:id="rId3"/>
    <sheet name="Steps 1-2" sheetId="9" r:id="rId4"/>
    <sheet name="Steps 3-6" sheetId="10" r:id="rId5"/>
    <sheet name="Steps 7-10" sheetId="15" r:id="rId6"/>
    <sheet name="Steps 11-17" sheetId="5" r:id="rId7"/>
    <sheet name="DCF Solution" sheetId="6" r:id="rId8"/>
    <sheet name="DCF Template" sheetId="7" r:id="rId9"/>
  </sheets>
  <definedNames>
    <definedName name="Company">INPUTS!$B$3</definedName>
    <definedName name="FYE">INPUTS!$H$3</definedName>
    <definedName name="_xlnm.Print_Area" localSheetId="7">'DCF Solution'!$B$22:$P$74</definedName>
    <definedName name="_xlnm.Print_Area" localSheetId="8">'DCF Template'!$B$22:$P$74</definedName>
    <definedName name="_xlnm.Print_Area" localSheetId="1">INPUTS!$A$1:$P$5</definedName>
    <definedName name="_xlnm.Print_Area" localSheetId="2">Overview!$B$21:$Z$75</definedName>
    <definedName name="_xlnm.Print_Area" localSheetId="6">'Steps 11-17'!$B$1:$X$74</definedName>
    <definedName name="_xlnm.Print_Area" localSheetId="3">'Steps 1-2'!$B$1:$X$74</definedName>
    <definedName name="_xlnm.Print_Area" localSheetId="4">'Steps 3-6'!$B$1:$X$74</definedName>
    <definedName name="_xlnm.Print_Area" localSheetId="5">'Steps 7-10'!$B$1:$X$74</definedName>
    <definedName name="Subheader">INPUTS!$K$3</definedName>
    <definedName name="TTS">TTS!$A$1</definedName>
  </definedNames>
  <calcPr calcId="162913" calcMode="autoNoTable" iterate="1"/>
</workbook>
</file>

<file path=xl/calcChain.xml><?xml version="1.0" encoding="utf-8"?>
<calcChain xmlns="http://schemas.openxmlformats.org/spreadsheetml/2006/main">
  <c r="T3" i="15" l="1"/>
  <c r="T8" i="10"/>
  <c r="S8" i="10"/>
  <c r="J51" i="8" l="1"/>
  <c r="J52" i="8"/>
  <c r="K58" i="15" l="1"/>
  <c r="L58" i="15" s="1"/>
  <c r="M58" i="15" s="1"/>
  <c r="N58" i="15" s="1"/>
  <c r="Q77" i="7" l="1"/>
  <c r="Q76" i="7"/>
  <c r="Q72" i="7"/>
  <c r="Q67" i="7"/>
  <c r="Q66" i="7"/>
  <c r="Q65" i="7"/>
  <c r="Q77" i="6"/>
  <c r="Q76" i="6"/>
  <c r="Q72" i="6"/>
  <c r="Q67" i="6"/>
  <c r="Q66" i="6"/>
  <c r="Q65" i="6"/>
  <c r="Q77" i="5"/>
  <c r="Q76" i="5"/>
  <c r="Q72" i="5"/>
  <c r="Q67" i="5"/>
  <c r="Q66" i="5"/>
  <c r="Q65" i="5"/>
  <c r="Q77" i="15"/>
  <c r="Q76" i="15"/>
  <c r="Q72" i="15"/>
  <c r="Q67" i="15"/>
  <c r="Q66" i="15"/>
  <c r="Q65" i="15"/>
  <c r="Q77" i="10"/>
  <c r="Q76" i="10"/>
  <c r="Q72" i="10"/>
  <c r="Q67" i="10"/>
  <c r="Q66" i="10"/>
  <c r="Q65" i="10"/>
  <c r="Q77" i="9" l="1"/>
  <c r="Q76" i="9"/>
  <c r="Q65" i="9" l="1"/>
  <c r="G74" i="7"/>
  <c r="G54" i="7"/>
  <c r="H54" i="7"/>
  <c r="I54" i="7"/>
  <c r="G53" i="7"/>
  <c r="H53" i="7"/>
  <c r="I53" i="7"/>
  <c r="G52" i="7"/>
  <c r="H52" i="7"/>
  <c r="I52" i="7"/>
  <c r="H51" i="7"/>
  <c r="I51" i="7"/>
  <c r="P29" i="7"/>
  <c r="K56" i="7"/>
  <c r="L56" i="7" s="1"/>
  <c r="M56" i="7" s="1"/>
  <c r="N56" i="7" s="1"/>
  <c r="K57" i="7"/>
  <c r="L57" i="7" s="1"/>
  <c r="M57" i="7" s="1"/>
  <c r="N57" i="7" s="1"/>
  <c r="K58" i="7"/>
  <c r="L58" i="7" s="1"/>
  <c r="M58" i="7" s="1"/>
  <c r="N58" i="7" s="1"/>
  <c r="K59" i="7"/>
  <c r="L59" i="7" s="1"/>
  <c r="M59" i="7" s="1"/>
  <c r="N59" i="7" s="1"/>
  <c r="K55" i="7"/>
  <c r="L55" i="7" s="1"/>
  <c r="M55" i="7" s="1"/>
  <c r="N55" i="7" s="1"/>
  <c r="K51" i="7"/>
  <c r="L51" i="7" s="1"/>
  <c r="M51" i="7" s="1"/>
  <c r="N51" i="7" s="1"/>
  <c r="K52" i="7"/>
  <c r="L52" i="7" s="1"/>
  <c r="M52" i="7" s="1"/>
  <c r="N52" i="7" s="1"/>
  <c r="K53" i="7"/>
  <c r="L53" i="7" s="1"/>
  <c r="M53" i="7" s="1"/>
  <c r="N53" i="7" s="1"/>
  <c r="I59" i="7"/>
  <c r="H59" i="7"/>
  <c r="I58" i="7"/>
  <c r="H58" i="7"/>
  <c r="I57" i="7"/>
  <c r="H57" i="7"/>
  <c r="I56" i="7"/>
  <c r="H56" i="7"/>
  <c r="I55" i="7"/>
  <c r="H55" i="7"/>
  <c r="I41" i="7"/>
  <c r="H41" i="7"/>
  <c r="I31" i="7"/>
  <c r="I34" i="7" s="1"/>
  <c r="I37" i="7" s="1"/>
  <c r="P37" i="7" s="1"/>
  <c r="H31" i="7"/>
  <c r="H34" i="7" s="1"/>
  <c r="H37" i="7" s="1"/>
  <c r="G31" i="7"/>
  <c r="G34" i="7" s="1"/>
  <c r="G37" i="7" s="1"/>
  <c r="J43" i="7"/>
  <c r="J36" i="7"/>
  <c r="J29" i="7"/>
  <c r="J42" i="7" s="1"/>
  <c r="J35" i="7" s="1"/>
  <c r="J41" i="7" s="1"/>
  <c r="K58" i="10"/>
  <c r="L58" i="10" s="1"/>
  <c r="M58" i="10" s="1"/>
  <c r="N58" i="10" s="1"/>
  <c r="K58" i="9"/>
  <c r="L58" i="9" s="1"/>
  <c r="M58" i="9" s="1"/>
  <c r="N58" i="9" s="1"/>
  <c r="P31" i="7" l="1"/>
  <c r="P34" i="7"/>
  <c r="J54" i="7"/>
  <c r="K43" i="7"/>
  <c r="L43" i="7"/>
  <c r="K29" i="7"/>
  <c r="J33" i="7"/>
  <c r="H38" i="7"/>
  <c r="H39" i="7" s="1"/>
  <c r="H45" i="7" s="1"/>
  <c r="I38" i="7"/>
  <c r="I39" i="7" s="1"/>
  <c r="G38" i="7"/>
  <c r="G39" i="7" s="1"/>
  <c r="J30" i="7"/>
  <c r="J31" i="7" s="1"/>
  <c r="J44" i="7"/>
  <c r="K19" i="7"/>
  <c r="I45" i="7" l="1"/>
  <c r="P45" i="7" s="1"/>
  <c r="P39" i="7"/>
  <c r="K30" i="7"/>
  <c r="K31" i="7" s="1"/>
  <c r="K54" i="7"/>
  <c r="K44" i="7"/>
  <c r="K42" i="7"/>
  <c r="K35" i="7" s="1"/>
  <c r="L29" i="7"/>
  <c r="J34" i="7"/>
  <c r="K33" i="7"/>
  <c r="N43" i="7"/>
  <c r="M43" i="7"/>
  <c r="C3" i="9"/>
  <c r="K34" i="7" l="1"/>
  <c r="L44" i="7"/>
  <c r="L54" i="7"/>
  <c r="L30" i="7"/>
  <c r="L31" i="7" s="1"/>
  <c r="M29" i="7"/>
  <c r="M44" i="7" s="1"/>
  <c r="L33" i="7"/>
  <c r="L42" i="7"/>
  <c r="L35" i="7" s="1"/>
  <c r="J37" i="7"/>
  <c r="J3" i="10"/>
  <c r="N29" i="7" l="1"/>
  <c r="N54" i="7" s="1"/>
  <c r="M54" i="7"/>
  <c r="L34" i="7"/>
  <c r="M33" i="7"/>
  <c r="M30" i="7"/>
  <c r="M31" i="7" s="1"/>
  <c r="M42" i="7"/>
  <c r="M35" i="7" s="1"/>
  <c r="J38" i="7"/>
  <c r="J39" i="7" s="1"/>
  <c r="J45" i="7" s="1"/>
  <c r="N33" i="7"/>
  <c r="N44" i="7"/>
  <c r="N30" i="7"/>
  <c r="N31" i="7" s="1"/>
  <c r="T3" i="5"/>
  <c r="T12" i="15"/>
  <c r="K56" i="15"/>
  <c r="L56" i="15" s="1"/>
  <c r="M56" i="15" s="1"/>
  <c r="N56" i="15" s="1"/>
  <c r="T9" i="9"/>
  <c r="N42" i="7" l="1"/>
  <c r="N35" i="7" s="1"/>
  <c r="M34" i="7"/>
  <c r="N34" i="7"/>
  <c r="K17" i="5"/>
  <c r="J9" i="10"/>
  <c r="J63" i="15"/>
  <c r="T5" i="5"/>
  <c r="T2" i="9"/>
  <c r="T3" i="9"/>
  <c r="T5" i="9"/>
  <c r="T11" i="15"/>
  <c r="T10" i="15"/>
  <c r="T8" i="15"/>
  <c r="T6" i="9"/>
  <c r="T4" i="9"/>
  <c r="S5" i="9"/>
  <c r="S4" i="9"/>
  <c r="S3" i="9"/>
  <c r="S2" i="9"/>
  <c r="T7" i="5"/>
  <c r="T6" i="5"/>
  <c r="T4" i="5"/>
  <c r="T2" i="5"/>
  <c r="S12" i="15"/>
  <c r="T9" i="15"/>
  <c r="T7" i="15"/>
  <c r="T4" i="15"/>
  <c r="T6" i="15"/>
  <c r="T5" i="15"/>
  <c r="T2" i="15"/>
  <c r="T10" i="10"/>
  <c r="T9" i="10"/>
  <c r="T7" i="10"/>
  <c r="T6" i="10"/>
  <c r="S6" i="10"/>
  <c r="T5" i="10"/>
  <c r="T4" i="10"/>
  <c r="T3" i="10"/>
  <c r="T2" i="10"/>
  <c r="S7" i="5"/>
  <c r="S6" i="5"/>
  <c r="S5" i="5"/>
  <c r="S4" i="5"/>
  <c r="S3" i="5"/>
  <c r="S2" i="5"/>
  <c r="S11" i="15"/>
  <c r="S10" i="15"/>
  <c r="S9" i="15"/>
  <c r="S8" i="15"/>
  <c r="S7" i="15"/>
  <c r="S6" i="15"/>
  <c r="S4" i="15"/>
  <c r="S5" i="15"/>
  <c r="S2" i="15"/>
  <c r="S3" i="15"/>
  <c r="S10" i="10"/>
  <c r="S9" i="10"/>
  <c r="S7" i="10"/>
  <c r="S5" i="10"/>
  <c r="S4" i="10"/>
  <c r="S3" i="10"/>
  <c r="S2" i="10"/>
  <c r="S9" i="9"/>
  <c r="S8" i="9"/>
  <c r="S7" i="9"/>
  <c r="S6" i="9"/>
  <c r="T8" i="9"/>
  <c r="T7" i="9"/>
  <c r="D6" i="9"/>
  <c r="J3" i="15"/>
  <c r="C3" i="15"/>
  <c r="E9" i="7" s="1"/>
  <c r="C13" i="15"/>
  <c r="J7" i="15"/>
  <c r="B1" i="15"/>
  <c r="J69" i="15"/>
  <c r="J70" i="15" s="1"/>
  <c r="J71" i="15" s="1"/>
  <c r="J72" i="15" s="1"/>
  <c r="J67" i="15"/>
  <c r="J66" i="15" s="1"/>
  <c r="J65" i="15" s="1"/>
  <c r="J64" i="15" s="1"/>
  <c r="L63" i="15"/>
  <c r="M63" i="15" s="1"/>
  <c r="N63" i="15" s="1"/>
  <c r="K59" i="15"/>
  <c r="L59" i="15" s="1"/>
  <c r="M59" i="15" s="1"/>
  <c r="N59" i="15" s="1"/>
  <c r="I59" i="15"/>
  <c r="H59" i="15"/>
  <c r="I58" i="15"/>
  <c r="H58" i="15"/>
  <c r="K57" i="15"/>
  <c r="L57" i="15" s="1"/>
  <c r="M57" i="15" s="1"/>
  <c r="N57" i="15" s="1"/>
  <c r="I57" i="15"/>
  <c r="H57" i="15"/>
  <c r="I56" i="15"/>
  <c r="H56" i="15"/>
  <c r="K55" i="15"/>
  <c r="L55" i="15" s="1"/>
  <c r="M55" i="15" s="1"/>
  <c r="N55" i="15" s="1"/>
  <c r="I55" i="15"/>
  <c r="H55" i="15"/>
  <c r="K53" i="15"/>
  <c r="L53" i="15" s="1"/>
  <c r="M53" i="15" s="1"/>
  <c r="N53" i="15" s="1"/>
  <c r="I53" i="15"/>
  <c r="H53" i="15"/>
  <c r="G53" i="15"/>
  <c r="K52" i="15"/>
  <c r="L52" i="15" s="1"/>
  <c r="M52" i="15" s="1"/>
  <c r="N52" i="15" s="1"/>
  <c r="I52" i="15"/>
  <c r="H52" i="15"/>
  <c r="G52" i="15"/>
  <c r="K51" i="15"/>
  <c r="I51" i="15"/>
  <c r="H51" i="15"/>
  <c r="I41" i="15"/>
  <c r="H41" i="15"/>
  <c r="I31" i="15"/>
  <c r="I34" i="15" s="1"/>
  <c r="H31" i="15"/>
  <c r="H34" i="15" s="1"/>
  <c r="H54" i="15" s="1"/>
  <c r="G31" i="15"/>
  <c r="G34" i="15" s="1"/>
  <c r="J29" i="15"/>
  <c r="J33" i="15" s="1"/>
  <c r="I27" i="15"/>
  <c r="H27" i="15" s="1"/>
  <c r="B23" i="15"/>
  <c r="B22" i="15"/>
  <c r="D4" i="7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B1" i="7"/>
  <c r="K19" i="6"/>
  <c r="D4" i="6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B1" i="6"/>
  <c r="E19" i="7"/>
  <c r="B1" i="5"/>
  <c r="K14" i="5"/>
  <c r="K10" i="5"/>
  <c r="K7" i="5"/>
  <c r="K3" i="5"/>
  <c r="C12" i="5"/>
  <c r="C3" i="5"/>
  <c r="J30" i="15" l="1"/>
  <c r="J31" i="15" s="1"/>
  <c r="J34" i="15" s="1"/>
  <c r="J54" i="15" s="1"/>
  <c r="E9" i="6"/>
  <c r="E11" i="7"/>
  <c r="E15" i="7"/>
  <c r="E12" i="7"/>
  <c r="E18" i="7"/>
  <c r="E10" i="7"/>
  <c r="E14" i="7"/>
  <c r="E16" i="7"/>
  <c r="E13" i="6"/>
  <c r="E17" i="6"/>
  <c r="I37" i="15"/>
  <c r="I54" i="15"/>
  <c r="E10" i="6"/>
  <c r="K29" i="15"/>
  <c r="K33" i="15" s="1"/>
  <c r="E11" i="6"/>
  <c r="E12" i="6"/>
  <c r="H49" i="15"/>
  <c r="G27" i="15"/>
  <c r="G49" i="15" s="1"/>
  <c r="I38" i="15"/>
  <c r="I39" i="15" s="1"/>
  <c r="I45" i="15" s="1"/>
  <c r="G54" i="15"/>
  <c r="G37" i="15"/>
  <c r="I49" i="15"/>
  <c r="J27" i="15"/>
  <c r="L51" i="15"/>
  <c r="M51" i="15" s="1"/>
  <c r="N51" i="15" s="1"/>
  <c r="H37" i="15"/>
  <c r="E13" i="7"/>
  <c r="E17" i="7"/>
  <c r="E14" i="6"/>
  <c r="E18" i="6"/>
  <c r="E15" i="6"/>
  <c r="E19" i="6"/>
  <c r="E16" i="6"/>
  <c r="B1" i="10"/>
  <c r="K30" i="15" l="1"/>
  <c r="K31" i="15" s="1"/>
  <c r="K34" i="15" s="1"/>
  <c r="K54" i="15" s="1"/>
  <c r="V6" i="15"/>
  <c r="V2" i="15"/>
  <c r="V5" i="15"/>
  <c r="V3" i="15"/>
  <c r="V7" i="15"/>
  <c r="V4" i="15"/>
  <c r="H38" i="15"/>
  <c r="H39" i="15" s="1"/>
  <c r="H45" i="15" s="1"/>
  <c r="G38" i="15"/>
  <c r="G39" i="15" s="1"/>
  <c r="L29" i="15"/>
  <c r="K27" i="15"/>
  <c r="J49" i="15"/>
  <c r="B1" i="9"/>
  <c r="C8" i="9"/>
  <c r="C9" i="10"/>
  <c r="C3" i="10"/>
  <c r="D4" i="9"/>
  <c r="L27" i="15" l="1"/>
  <c r="K49" i="15"/>
  <c r="L33" i="15"/>
  <c r="L30" i="15"/>
  <c r="L31" i="15" s="1"/>
  <c r="L34" i="15" s="1"/>
  <c r="L54" i="15" s="1"/>
  <c r="M29" i="15"/>
  <c r="E6" i="7"/>
  <c r="E6" i="6"/>
  <c r="E4" i="7"/>
  <c r="E4" i="6"/>
  <c r="E8" i="7"/>
  <c r="E8" i="6"/>
  <c r="E7" i="7"/>
  <c r="E7" i="6"/>
  <c r="E5" i="6"/>
  <c r="E5" i="7"/>
  <c r="E3" i="6"/>
  <c r="E3" i="7"/>
  <c r="I27" i="7"/>
  <c r="B23" i="7"/>
  <c r="B22" i="7"/>
  <c r="I27" i="6"/>
  <c r="J27" i="6" s="1"/>
  <c r="K27" i="6" s="1"/>
  <c r="L27" i="6" s="1"/>
  <c r="M27" i="6" s="1"/>
  <c r="N27" i="6" s="1"/>
  <c r="I27" i="5"/>
  <c r="J27" i="5" s="1"/>
  <c r="K27" i="5" s="1"/>
  <c r="L27" i="5" s="1"/>
  <c r="M27" i="5" s="1"/>
  <c r="N27" i="5" s="1"/>
  <c r="I27" i="10"/>
  <c r="J27" i="10" s="1"/>
  <c r="I27" i="9"/>
  <c r="J27" i="9" s="1"/>
  <c r="K27" i="9" s="1"/>
  <c r="L27" i="9" s="1"/>
  <c r="M27" i="9" s="1"/>
  <c r="N27" i="9" s="1"/>
  <c r="I27" i="8"/>
  <c r="B23" i="6"/>
  <c r="B22" i="6"/>
  <c r="B23" i="5"/>
  <c r="B22" i="5"/>
  <c r="B23" i="10"/>
  <c r="B22" i="10"/>
  <c r="B23" i="9"/>
  <c r="B22" i="9"/>
  <c r="B23" i="8"/>
  <c r="B22" i="8"/>
  <c r="K27" i="10" l="1"/>
  <c r="L27" i="10" s="1"/>
  <c r="M27" i="10" s="1"/>
  <c r="N27" i="10" s="1"/>
  <c r="V5" i="10"/>
  <c r="V3" i="10"/>
  <c r="V7" i="10"/>
  <c r="M33" i="15"/>
  <c r="M30" i="15"/>
  <c r="M31" i="15" s="1"/>
  <c r="M34" i="15" s="1"/>
  <c r="M54" i="15" s="1"/>
  <c r="N29" i="15"/>
  <c r="L49" i="15"/>
  <c r="M27" i="15"/>
  <c r="J27" i="8"/>
  <c r="K27" i="8" s="1"/>
  <c r="L27" i="8" s="1"/>
  <c r="M27" i="8" s="1"/>
  <c r="N27" i="8" s="1"/>
  <c r="P25" i="8" s="1"/>
  <c r="H27" i="8"/>
  <c r="G27" i="8" s="1"/>
  <c r="H27" i="6"/>
  <c r="G27" i="6" s="1"/>
  <c r="P25" i="6"/>
  <c r="H27" i="5"/>
  <c r="G27" i="5" s="1"/>
  <c r="P25" i="5"/>
  <c r="H27" i="10"/>
  <c r="G27" i="10" s="1"/>
  <c r="G49" i="10" s="1"/>
  <c r="P25" i="10"/>
  <c r="H27" i="9"/>
  <c r="G27" i="9" s="1"/>
  <c r="G49" i="9" s="1"/>
  <c r="P25" i="9"/>
  <c r="I59" i="10"/>
  <c r="H59" i="10"/>
  <c r="I58" i="10"/>
  <c r="H58" i="10"/>
  <c r="I57" i="10"/>
  <c r="H57" i="10"/>
  <c r="I56" i="10"/>
  <c r="H56" i="10"/>
  <c r="I55" i="10"/>
  <c r="H55" i="10"/>
  <c r="I53" i="10"/>
  <c r="H53" i="10"/>
  <c r="G53" i="10"/>
  <c r="I52" i="10"/>
  <c r="H52" i="10"/>
  <c r="G52" i="10"/>
  <c r="I51" i="10"/>
  <c r="H51" i="10"/>
  <c r="H38" i="9"/>
  <c r="I38" i="9"/>
  <c r="G38" i="9"/>
  <c r="H31" i="10"/>
  <c r="H34" i="10" s="1"/>
  <c r="I31" i="10"/>
  <c r="I34" i="10" s="1"/>
  <c r="G31" i="10"/>
  <c r="G34" i="10" s="1"/>
  <c r="G54" i="10" s="1"/>
  <c r="J69" i="10"/>
  <c r="J70" i="10" s="1"/>
  <c r="J71" i="10" s="1"/>
  <c r="J72" i="10" s="1"/>
  <c r="J67" i="10"/>
  <c r="J66" i="10" s="1"/>
  <c r="J65" i="10" s="1"/>
  <c r="J64" i="10" s="1"/>
  <c r="L63" i="10"/>
  <c r="M63" i="10" s="1"/>
  <c r="N63" i="10" s="1"/>
  <c r="J63" i="10"/>
  <c r="K59" i="10"/>
  <c r="L59" i="10" s="1"/>
  <c r="M59" i="10" s="1"/>
  <c r="N59" i="10" s="1"/>
  <c r="K57" i="10"/>
  <c r="L57" i="10" s="1"/>
  <c r="M57" i="10" s="1"/>
  <c r="N57" i="10" s="1"/>
  <c r="K56" i="10"/>
  <c r="L56" i="10" s="1"/>
  <c r="M56" i="10" s="1"/>
  <c r="N56" i="10" s="1"/>
  <c r="K55" i="10"/>
  <c r="L55" i="10" s="1"/>
  <c r="M55" i="10" s="1"/>
  <c r="N55" i="10" s="1"/>
  <c r="N49" i="10"/>
  <c r="M49" i="10"/>
  <c r="L49" i="10"/>
  <c r="K49" i="10"/>
  <c r="J49" i="10"/>
  <c r="I49" i="10"/>
  <c r="I41" i="10"/>
  <c r="H41" i="10"/>
  <c r="Q72" i="9"/>
  <c r="J69" i="9"/>
  <c r="J70" i="9" s="1"/>
  <c r="J71" i="9" s="1"/>
  <c r="J72" i="9" s="1"/>
  <c r="Q67" i="9"/>
  <c r="J67" i="9"/>
  <c r="J66" i="9" s="1"/>
  <c r="J65" i="9" s="1"/>
  <c r="J64" i="9" s="1"/>
  <c r="Q66" i="9"/>
  <c r="L63" i="9"/>
  <c r="M63" i="9" s="1"/>
  <c r="N63" i="9" s="1"/>
  <c r="J63" i="9"/>
  <c r="K59" i="9"/>
  <c r="L59" i="9" s="1"/>
  <c r="M59" i="9" s="1"/>
  <c r="N59" i="9" s="1"/>
  <c r="I59" i="9"/>
  <c r="H59" i="9"/>
  <c r="I58" i="9"/>
  <c r="H58" i="9"/>
  <c r="K57" i="9"/>
  <c r="L57" i="9" s="1"/>
  <c r="M57" i="9" s="1"/>
  <c r="N57" i="9" s="1"/>
  <c r="I57" i="9"/>
  <c r="H57" i="9"/>
  <c r="K56" i="9"/>
  <c r="L56" i="9" s="1"/>
  <c r="M56" i="9" s="1"/>
  <c r="N56" i="9" s="1"/>
  <c r="I56" i="9"/>
  <c r="H56" i="9"/>
  <c r="K55" i="9"/>
  <c r="L55" i="9" s="1"/>
  <c r="M55" i="9" s="1"/>
  <c r="N55" i="9" s="1"/>
  <c r="I55" i="9"/>
  <c r="H55" i="9"/>
  <c r="G54" i="9"/>
  <c r="I53" i="9"/>
  <c r="H53" i="9"/>
  <c r="G53" i="9"/>
  <c r="G52" i="9"/>
  <c r="N49" i="9"/>
  <c r="M49" i="9"/>
  <c r="L49" i="9"/>
  <c r="K49" i="9"/>
  <c r="J49" i="9"/>
  <c r="I49" i="9"/>
  <c r="I41" i="9"/>
  <c r="H41" i="9"/>
  <c r="H49" i="10" l="1"/>
  <c r="N30" i="15"/>
  <c r="N31" i="15" s="1"/>
  <c r="N33" i="15"/>
  <c r="N27" i="15"/>
  <c r="M49" i="15"/>
  <c r="H49" i="9"/>
  <c r="G37" i="10"/>
  <c r="G38" i="10" s="1"/>
  <c r="G39" i="10" s="1"/>
  <c r="I37" i="10"/>
  <c r="I54" i="10"/>
  <c r="H54" i="10"/>
  <c r="H37" i="10"/>
  <c r="N34" i="15" l="1"/>
  <c r="N54" i="15" s="1"/>
  <c r="N49" i="15"/>
  <c r="P25" i="15"/>
  <c r="V12" i="15" s="1"/>
  <c r="H38" i="10"/>
  <c r="H39" i="10" s="1"/>
  <c r="H45" i="10" s="1"/>
  <c r="I38" i="10"/>
  <c r="I39" i="10" s="1"/>
  <c r="I45" i="10" s="1"/>
  <c r="Q52" i="8" l="1"/>
  <c r="K52" i="8" s="1"/>
  <c r="L52" i="8" s="1"/>
  <c r="M52" i="8" s="1"/>
  <c r="N52" i="8" s="1"/>
  <c r="Q56" i="8"/>
  <c r="Q58" i="8"/>
  <c r="R63" i="8"/>
  <c r="Q63" i="8"/>
  <c r="G72" i="8"/>
  <c r="G69" i="8"/>
  <c r="G68" i="8"/>
  <c r="J58" i="8"/>
  <c r="J36" i="8" s="1"/>
  <c r="J57" i="8"/>
  <c r="G62" i="8"/>
  <c r="G61" i="8"/>
  <c r="J68" i="8"/>
  <c r="K63" i="8"/>
  <c r="J59" i="8"/>
  <c r="K59" i="8" s="1"/>
  <c r="L59" i="8" s="1"/>
  <c r="J56" i="8"/>
  <c r="K56" i="8" s="1"/>
  <c r="J55" i="8"/>
  <c r="K55" i="8" s="1"/>
  <c r="L55" i="8" s="1"/>
  <c r="J53" i="8"/>
  <c r="K51" i="8"/>
  <c r="L51" i="8" s="1"/>
  <c r="E38" i="8"/>
  <c r="I44" i="8"/>
  <c r="H44" i="8"/>
  <c r="I43" i="8"/>
  <c r="I57" i="8" s="1"/>
  <c r="H43" i="8"/>
  <c r="H57" i="8" s="1"/>
  <c r="I42" i="8"/>
  <c r="I56" i="8" s="1"/>
  <c r="H42" i="8"/>
  <c r="H55" i="8" s="1"/>
  <c r="I36" i="8"/>
  <c r="I58" i="8" s="1"/>
  <c r="H36" i="8"/>
  <c r="H58" i="8" s="1"/>
  <c r="G36" i="8"/>
  <c r="I35" i="8"/>
  <c r="H35" i="8"/>
  <c r="G35" i="8"/>
  <c r="I33" i="8"/>
  <c r="H33" i="8"/>
  <c r="G33" i="8"/>
  <c r="G29" i="8"/>
  <c r="H29" i="8"/>
  <c r="I29" i="8"/>
  <c r="I55" i="8" s="1"/>
  <c r="G30" i="8"/>
  <c r="H30" i="8"/>
  <c r="H31" i="8" s="1"/>
  <c r="I30" i="8"/>
  <c r="K57" i="8"/>
  <c r="L57" i="8" s="1"/>
  <c r="K53" i="8"/>
  <c r="L53" i="8" s="1"/>
  <c r="M53" i="8" s="1"/>
  <c r="N53" i="8" s="1"/>
  <c r="N49" i="8"/>
  <c r="M49" i="8"/>
  <c r="L49" i="8"/>
  <c r="K49" i="8"/>
  <c r="J49" i="8"/>
  <c r="I49" i="8"/>
  <c r="H49" i="8"/>
  <c r="G49" i="8"/>
  <c r="J43" i="8"/>
  <c r="H51" i="8" l="1"/>
  <c r="I51" i="8"/>
  <c r="I59" i="8"/>
  <c r="H53" i="8"/>
  <c r="G31" i="8"/>
  <c r="G34" i="8" s="1"/>
  <c r="G54" i="8" s="1"/>
  <c r="H41" i="8"/>
  <c r="H52" i="8"/>
  <c r="H59" i="8"/>
  <c r="I52" i="8"/>
  <c r="G53" i="8"/>
  <c r="I31" i="8"/>
  <c r="I34" i="8" s="1"/>
  <c r="I37" i="8" s="1"/>
  <c r="H34" i="8"/>
  <c r="H54" i="8" s="1"/>
  <c r="H56" i="8"/>
  <c r="J67" i="8"/>
  <c r="J66" i="8" s="1"/>
  <c r="J65" i="8" s="1"/>
  <c r="J64" i="8" s="1"/>
  <c r="G52" i="8"/>
  <c r="K58" i="8"/>
  <c r="L58" i="8" s="1"/>
  <c r="M58" i="8" s="1"/>
  <c r="J29" i="8"/>
  <c r="J44" i="8" s="1"/>
  <c r="I41" i="8"/>
  <c r="I53" i="8"/>
  <c r="L63" i="8"/>
  <c r="M63" i="8" s="1"/>
  <c r="N63" i="8" s="1"/>
  <c r="J69" i="8"/>
  <c r="J70" i="8" s="1"/>
  <c r="J71" i="8" s="1"/>
  <c r="J72" i="8" s="1"/>
  <c r="M57" i="8"/>
  <c r="L43" i="8"/>
  <c r="M51" i="8"/>
  <c r="N51" i="8" s="1"/>
  <c r="M55" i="8"/>
  <c r="M59" i="8"/>
  <c r="L56" i="8"/>
  <c r="K43" i="8"/>
  <c r="L36" i="8" l="1"/>
  <c r="G37" i="8"/>
  <c r="H37" i="8"/>
  <c r="H38" i="8" s="1"/>
  <c r="H39" i="8" s="1"/>
  <c r="H45" i="8" s="1"/>
  <c r="I54" i="8"/>
  <c r="K36" i="8"/>
  <c r="K29" i="8"/>
  <c r="K33" i="8" s="1"/>
  <c r="J42" i="8"/>
  <c r="J35" i="8" s="1"/>
  <c r="J41" i="8" s="1"/>
  <c r="J33" i="8"/>
  <c r="J30" i="8"/>
  <c r="J31" i="8" s="1"/>
  <c r="N57" i="8"/>
  <c r="N43" i="8" s="1"/>
  <c r="M43" i="8"/>
  <c r="M56" i="8"/>
  <c r="N58" i="8"/>
  <c r="N36" i="8" s="1"/>
  <c r="M36" i="8"/>
  <c r="N55" i="8"/>
  <c r="G38" i="8"/>
  <c r="G39" i="8" s="1"/>
  <c r="I38" i="8"/>
  <c r="I39" i="8" s="1"/>
  <c r="N59" i="8"/>
  <c r="H27" i="7"/>
  <c r="G27" i="7" s="1"/>
  <c r="J69" i="7"/>
  <c r="J70" i="7" s="1"/>
  <c r="J71" i="7" s="1"/>
  <c r="J72" i="7" s="1"/>
  <c r="J67" i="7"/>
  <c r="J66" i="7"/>
  <c r="J65" i="7" s="1"/>
  <c r="J64" i="7" s="1"/>
  <c r="L63" i="7"/>
  <c r="M63" i="7" s="1"/>
  <c r="N63" i="7" s="1"/>
  <c r="L29" i="8" l="1"/>
  <c r="K44" i="8"/>
  <c r="K30" i="8"/>
  <c r="K31" i="8" s="1"/>
  <c r="K34" i="8" s="1"/>
  <c r="K54" i="8" s="1"/>
  <c r="K42" i="8"/>
  <c r="K35" i="8" s="1"/>
  <c r="K41" i="8" s="1"/>
  <c r="J34" i="8"/>
  <c r="J54" i="8" s="1"/>
  <c r="I45" i="8"/>
  <c r="N56" i="8"/>
  <c r="G49" i="7"/>
  <c r="J69" i="6"/>
  <c r="J70" i="6" s="1"/>
  <c r="J71" i="6" s="1"/>
  <c r="J72" i="6" s="1"/>
  <c r="J67" i="6"/>
  <c r="J66" i="6" s="1"/>
  <c r="J65" i="6" s="1"/>
  <c r="J64" i="6" s="1"/>
  <c r="L63" i="6"/>
  <c r="M63" i="6" s="1"/>
  <c r="N63" i="6" s="1"/>
  <c r="K59" i="6"/>
  <c r="L59" i="6" s="1"/>
  <c r="I59" i="6"/>
  <c r="H59" i="6"/>
  <c r="K58" i="6"/>
  <c r="L58" i="6" s="1"/>
  <c r="I58" i="6"/>
  <c r="H58" i="6"/>
  <c r="K57" i="6"/>
  <c r="L57" i="6" s="1"/>
  <c r="L43" i="6" s="1"/>
  <c r="I57" i="6"/>
  <c r="H57" i="6"/>
  <c r="K56" i="6"/>
  <c r="I56" i="6"/>
  <c r="H56" i="6"/>
  <c r="K55" i="6"/>
  <c r="L55" i="6" s="1"/>
  <c r="I55" i="6"/>
  <c r="H55" i="6"/>
  <c r="K53" i="6"/>
  <c r="L53" i="6" s="1"/>
  <c r="M53" i="6" s="1"/>
  <c r="N53" i="6" s="1"/>
  <c r="I53" i="6"/>
  <c r="H53" i="6"/>
  <c r="G53" i="6"/>
  <c r="K52" i="6"/>
  <c r="L52" i="6" s="1"/>
  <c r="M52" i="6" s="1"/>
  <c r="N52" i="6" s="1"/>
  <c r="I52" i="6"/>
  <c r="H52" i="6"/>
  <c r="G52" i="6"/>
  <c r="K51" i="6"/>
  <c r="L51" i="6" s="1"/>
  <c r="M51" i="6" s="1"/>
  <c r="N51" i="6" s="1"/>
  <c r="I51" i="6"/>
  <c r="H51" i="6"/>
  <c r="N49" i="6"/>
  <c r="M49" i="6"/>
  <c r="L49" i="6"/>
  <c r="K49" i="6"/>
  <c r="J49" i="6"/>
  <c r="I49" i="6"/>
  <c r="H49" i="6"/>
  <c r="J43" i="6"/>
  <c r="I41" i="6"/>
  <c r="H41" i="6"/>
  <c r="J36" i="6"/>
  <c r="I31" i="6"/>
  <c r="I34" i="6" s="1"/>
  <c r="H31" i="6"/>
  <c r="H34" i="6" s="1"/>
  <c r="G31" i="6"/>
  <c r="G34" i="6" s="1"/>
  <c r="J29" i="6"/>
  <c r="J33" i="6" s="1"/>
  <c r="G49" i="6"/>
  <c r="J69" i="5"/>
  <c r="J70" i="5" s="1"/>
  <c r="J71" i="5" s="1"/>
  <c r="J72" i="5" s="1"/>
  <c r="J67" i="5"/>
  <c r="J66" i="5" s="1"/>
  <c r="J65" i="5" s="1"/>
  <c r="J64" i="5" s="1"/>
  <c r="L63" i="5"/>
  <c r="M63" i="5" s="1"/>
  <c r="N63" i="5" s="1"/>
  <c r="K59" i="5"/>
  <c r="L59" i="5" s="1"/>
  <c r="M59" i="5" s="1"/>
  <c r="I59" i="5"/>
  <c r="H59" i="5"/>
  <c r="K58" i="5"/>
  <c r="L58" i="5" s="1"/>
  <c r="L36" i="5" s="1"/>
  <c r="I58" i="5"/>
  <c r="H58" i="5"/>
  <c r="K57" i="5"/>
  <c r="I57" i="5"/>
  <c r="H57" i="5"/>
  <c r="K56" i="5"/>
  <c r="L56" i="5" s="1"/>
  <c r="M56" i="5" s="1"/>
  <c r="I56" i="5"/>
  <c r="H56" i="5"/>
  <c r="K55" i="5"/>
  <c r="L55" i="5" s="1"/>
  <c r="M55" i="5" s="1"/>
  <c r="N55" i="5" s="1"/>
  <c r="I55" i="5"/>
  <c r="H55" i="5"/>
  <c r="K53" i="5"/>
  <c r="L53" i="5" s="1"/>
  <c r="M53" i="5" s="1"/>
  <c r="N53" i="5" s="1"/>
  <c r="I53" i="5"/>
  <c r="H53" i="5"/>
  <c r="G53" i="5"/>
  <c r="K52" i="5"/>
  <c r="L52" i="5" s="1"/>
  <c r="M52" i="5" s="1"/>
  <c r="N52" i="5" s="1"/>
  <c r="I52" i="5"/>
  <c r="H52" i="5"/>
  <c r="G52" i="5"/>
  <c r="K51" i="5"/>
  <c r="L51" i="5" s="1"/>
  <c r="M51" i="5" s="1"/>
  <c r="N51" i="5" s="1"/>
  <c r="I51" i="5"/>
  <c r="H51" i="5"/>
  <c r="N49" i="5"/>
  <c r="M49" i="5"/>
  <c r="L49" i="5"/>
  <c r="K49" i="5"/>
  <c r="J49" i="5"/>
  <c r="I49" i="5"/>
  <c r="H49" i="5"/>
  <c r="J43" i="5"/>
  <c r="I41" i="5"/>
  <c r="H41" i="5"/>
  <c r="K36" i="5"/>
  <c r="J36" i="5"/>
  <c r="I31" i="5"/>
  <c r="I34" i="5" s="1"/>
  <c r="H31" i="5"/>
  <c r="H34" i="5" s="1"/>
  <c r="G31" i="5"/>
  <c r="G34" i="5" s="1"/>
  <c r="G54" i="5" s="1"/>
  <c r="J29" i="5"/>
  <c r="J33" i="5" s="1"/>
  <c r="G49" i="5"/>
  <c r="J37" i="8" l="1"/>
  <c r="J38" i="8" s="1"/>
  <c r="J39" i="8" s="1"/>
  <c r="J45" i="8" s="1"/>
  <c r="K37" i="8"/>
  <c r="K38" i="8" s="1"/>
  <c r="K39" i="8" s="1"/>
  <c r="K45" i="8" s="1"/>
  <c r="L42" i="8"/>
  <c r="L35" i="8" s="1"/>
  <c r="L41" i="8" s="1"/>
  <c r="L30" i="8"/>
  <c r="L31" i="8" s="1"/>
  <c r="L44" i="8"/>
  <c r="M29" i="8"/>
  <c r="L33" i="8"/>
  <c r="G54" i="6"/>
  <c r="G37" i="6"/>
  <c r="G38" i="6" s="1"/>
  <c r="G39" i="6" s="1"/>
  <c r="I54" i="5"/>
  <c r="I37" i="5"/>
  <c r="M58" i="5"/>
  <c r="M57" i="6"/>
  <c r="N57" i="6" s="1"/>
  <c r="N43" i="6" s="1"/>
  <c r="H49" i="7"/>
  <c r="J42" i="5"/>
  <c r="J35" i="5" s="1"/>
  <c r="J41" i="5" s="1"/>
  <c r="K29" i="5"/>
  <c r="J44" i="5"/>
  <c r="G37" i="5"/>
  <c r="H54" i="5"/>
  <c r="H37" i="5"/>
  <c r="N56" i="5"/>
  <c r="N59" i="5"/>
  <c r="J30" i="5"/>
  <c r="J31" i="5" s="1"/>
  <c r="J34" i="5" s="1"/>
  <c r="M59" i="6"/>
  <c r="I54" i="6"/>
  <c r="I37" i="6"/>
  <c r="L56" i="6"/>
  <c r="M43" i="6"/>
  <c r="L57" i="5"/>
  <c r="K43" i="5"/>
  <c r="K36" i="6"/>
  <c r="M55" i="6"/>
  <c r="I38" i="5"/>
  <c r="I39" i="5" s="1"/>
  <c r="J44" i="6"/>
  <c r="J30" i="6"/>
  <c r="J31" i="6" s="1"/>
  <c r="J34" i="6" s="1"/>
  <c r="J42" i="6"/>
  <c r="J35" i="6" s="1"/>
  <c r="J41" i="6" s="1"/>
  <c r="K29" i="6"/>
  <c r="H54" i="6"/>
  <c r="H37" i="6"/>
  <c r="M58" i="6"/>
  <c r="L36" i="6"/>
  <c r="K43" i="6"/>
  <c r="M44" i="8" l="1"/>
  <c r="M30" i="8"/>
  <c r="M31" i="8" s="1"/>
  <c r="M42" i="8"/>
  <c r="M35" i="8" s="1"/>
  <c r="M41" i="8" s="1"/>
  <c r="N29" i="8"/>
  <c r="M33" i="8"/>
  <c r="L34" i="8"/>
  <c r="N58" i="5"/>
  <c r="N36" i="5" s="1"/>
  <c r="M36" i="5"/>
  <c r="I49" i="7"/>
  <c r="J27" i="7"/>
  <c r="J54" i="6"/>
  <c r="J37" i="6"/>
  <c r="I45" i="5"/>
  <c r="M56" i="6"/>
  <c r="I38" i="6"/>
  <c r="I39" i="6" s="1"/>
  <c r="J54" i="5"/>
  <c r="J37" i="5"/>
  <c r="K30" i="6"/>
  <c r="K31" i="6" s="1"/>
  <c r="K42" i="6"/>
  <c r="K35" i="6" s="1"/>
  <c r="K41" i="6" s="1"/>
  <c r="L29" i="6"/>
  <c r="K33" i="6"/>
  <c r="K44" i="6"/>
  <c r="H38" i="5"/>
  <c r="H39" i="5" s="1"/>
  <c r="H45" i="5" s="1"/>
  <c r="K33" i="5"/>
  <c r="K42" i="5"/>
  <c r="K35" i="5" s="1"/>
  <c r="K41" i="5" s="1"/>
  <c r="K30" i="5"/>
  <c r="K31" i="5" s="1"/>
  <c r="L29" i="5"/>
  <c r="K44" i="5"/>
  <c r="H38" i="6"/>
  <c r="H39" i="6" s="1"/>
  <c r="H45" i="6" s="1"/>
  <c r="N58" i="6"/>
  <c r="N36" i="6" s="1"/>
  <c r="M36" i="6"/>
  <c r="N55" i="6"/>
  <c r="L43" i="5"/>
  <c r="M57" i="5"/>
  <c r="N59" i="6"/>
  <c r="G38" i="5"/>
  <c r="G39" i="5" s="1"/>
  <c r="M34" i="8" l="1"/>
  <c r="M54" i="8" s="1"/>
  <c r="N42" i="8"/>
  <c r="N35" i="8" s="1"/>
  <c r="N41" i="8" s="1"/>
  <c r="N44" i="8"/>
  <c r="P29" i="8"/>
  <c r="N33" i="8"/>
  <c r="N30" i="8"/>
  <c r="N31" i="8" s="1"/>
  <c r="L54" i="8"/>
  <c r="L37" i="8"/>
  <c r="L38" i="8" s="1"/>
  <c r="L39" i="8" s="1"/>
  <c r="L45" i="8" s="1"/>
  <c r="K34" i="6"/>
  <c r="K37" i="6" s="1"/>
  <c r="K34" i="5"/>
  <c r="K37" i="5" s="1"/>
  <c r="J49" i="7"/>
  <c r="K27" i="7"/>
  <c r="N56" i="6"/>
  <c r="J38" i="6"/>
  <c r="J39" i="6" s="1"/>
  <c r="J45" i="6" s="1"/>
  <c r="N57" i="5"/>
  <c r="N43" i="5" s="1"/>
  <c r="M43" i="5"/>
  <c r="L33" i="5"/>
  <c r="M29" i="5"/>
  <c r="L30" i="5"/>
  <c r="L31" i="5" s="1"/>
  <c r="L42" i="5"/>
  <c r="L35" i="5" s="1"/>
  <c r="L41" i="5" s="1"/>
  <c r="L44" i="5"/>
  <c r="M29" i="6"/>
  <c r="L33" i="6"/>
  <c r="L30" i="6"/>
  <c r="L31" i="6" s="1"/>
  <c r="L42" i="6"/>
  <c r="L35" i="6" s="1"/>
  <c r="L41" i="6" s="1"/>
  <c r="L44" i="6"/>
  <c r="J38" i="5"/>
  <c r="J39" i="5" s="1"/>
  <c r="J45" i="5" s="1"/>
  <c r="I45" i="6"/>
  <c r="M37" i="8" l="1"/>
  <c r="M38" i="8" s="1"/>
  <c r="M39" i="8" s="1"/>
  <c r="M45" i="8" s="1"/>
  <c r="K54" i="6"/>
  <c r="L34" i="5"/>
  <c r="L37" i="5" s="1"/>
  <c r="K54" i="5"/>
  <c r="P31" i="8"/>
  <c r="N34" i="8"/>
  <c r="L34" i="6"/>
  <c r="L54" i="6" s="1"/>
  <c r="K49" i="7"/>
  <c r="L27" i="7"/>
  <c r="M33" i="6"/>
  <c r="M30" i="6"/>
  <c r="M31" i="6" s="1"/>
  <c r="N29" i="6"/>
  <c r="M44" i="6"/>
  <c r="M42" i="6"/>
  <c r="M35" i="6" s="1"/>
  <c r="M41" i="6" s="1"/>
  <c r="M30" i="5"/>
  <c r="M31" i="5" s="1"/>
  <c r="N29" i="5"/>
  <c r="M33" i="5"/>
  <c r="M42" i="5"/>
  <c r="M35" i="5" s="1"/>
  <c r="M41" i="5" s="1"/>
  <c r="M44" i="5"/>
  <c r="K38" i="5"/>
  <c r="K39" i="5" s="1"/>
  <c r="K45" i="5" s="1"/>
  <c r="K38" i="6"/>
  <c r="K39" i="6" s="1"/>
  <c r="K45" i="6" s="1"/>
  <c r="L54" i="5" l="1"/>
  <c r="M34" i="6"/>
  <c r="M54" i="6" s="1"/>
  <c r="L37" i="6"/>
  <c r="N54" i="8"/>
  <c r="N37" i="8"/>
  <c r="P34" i="8"/>
  <c r="M34" i="5"/>
  <c r="M54" i="5" s="1"/>
  <c r="L49" i="7"/>
  <c r="M27" i="7"/>
  <c r="L38" i="5"/>
  <c r="L39" i="5" s="1"/>
  <c r="L45" i="5" s="1"/>
  <c r="L38" i="6"/>
  <c r="L39" i="6" s="1"/>
  <c r="L45" i="6" s="1"/>
  <c r="N30" i="6"/>
  <c r="N31" i="6" s="1"/>
  <c r="P29" i="6"/>
  <c r="N33" i="6"/>
  <c r="N42" i="6"/>
  <c r="N35" i="6" s="1"/>
  <c r="N41" i="6" s="1"/>
  <c r="N44" i="6"/>
  <c r="P29" i="5"/>
  <c r="N33" i="5"/>
  <c r="N30" i="5"/>
  <c r="N31" i="5" s="1"/>
  <c r="N42" i="5"/>
  <c r="N35" i="5" s="1"/>
  <c r="N41" i="5" s="1"/>
  <c r="N44" i="5"/>
  <c r="M37" i="5" l="1"/>
  <c r="M37" i="6"/>
  <c r="M38" i="6" s="1"/>
  <c r="M39" i="6" s="1"/>
  <c r="M45" i="6" s="1"/>
  <c r="N38" i="8"/>
  <c r="N39" i="8" s="1"/>
  <c r="P37" i="8"/>
  <c r="M49" i="7"/>
  <c r="N27" i="7"/>
  <c r="N34" i="6"/>
  <c r="P31" i="6"/>
  <c r="P31" i="5"/>
  <c r="N34" i="5"/>
  <c r="M38" i="5"/>
  <c r="M39" i="5" s="1"/>
  <c r="M45" i="5" s="1"/>
  <c r="P39" i="8" l="1"/>
  <c r="N45" i="8"/>
  <c r="N49" i="7"/>
  <c r="P25" i="7"/>
  <c r="N54" i="5"/>
  <c r="N37" i="5"/>
  <c r="P34" i="5"/>
  <c r="N54" i="6"/>
  <c r="N37" i="6"/>
  <c r="P34" i="6"/>
  <c r="G64" i="8" l="1"/>
  <c r="G65" i="8"/>
  <c r="G66" i="8" s="1"/>
  <c r="P45" i="8"/>
  <c r="N38" i="5"/>
  <c r="N39" i="5" s="1"/>
  <c r="P37" i="5"/>
  <c r="N38" i="6"/>
  <c r="N39" i="6" s="1"/>
  <c r="P37" i="6"/>
  <c r="G67" i="8" l="1"/>
  <c r="G70" i="8" s="1"/>
  <c r="G74" i="8" s="1"/>
  <c r="J63" i="8" s="1"/>
  <c r="N45" i="6"/>
  <c r="P39" i="6"/>
  <c r="N45" i="5"/>
  <c r="P45" i="5" s="1"/>
  <c r="P39" i="5"/>
  <c r="G65" i="6" l="1"/>
  <c r="G66" i="6" s="1"/>
  <c r="G64" i="6"/>
  <c r="P45" i="6"/>
  <c r="G67" i="6" l="1"/>
  <c r="G70" i="6" s="1"/>
  <c r="G74" i="6" s="1"/>
  <c r="J63" i="6" s="1"/>
  <c r="L36" i="7" l="1"/>
  <c r="L41" i="7" s="1"/>
  <c r="L37" i="7"/>
  <c r="N36" i="7"/>
  <c r="N41" i="7" s="1"/>
  <c r="K36" i="7"/>
  <c r="K41" i="7" s="1"/>
  <c r="M36" i="7"/>
  <c r="M41" i="7" s="1"/>
  <c r="M37" i="7"/>
  <c r="K37" i="7" l="1"/>
  <c r="N37" i="7"/>
  <c r="L38" i="7"/>
  <c r="L39" i="7" s="1"/>
  <c r="L45" i="7" s="1"/>
  <c r="M38" i="7"/>
  <c r="M39" i="7" s="1"/>
  <c r="M45" i="7" s="1"/>
  <c r="N38" i="7" l="1"/>
  <c r="N39" i="7" s="1"/>
  <c r="K38" i="7"/>
  <c r="K39" i="7" s="1"/>
  <c r="K45" i="7" s="1"/>
  <c r="N45" i="7" l="1"/>
  <c r="G64" i="7" s="1"/>
  <c r="G65" i="7" l="1"/>
  <c r="G66" i="7" s="1"/>
  <c r="G67" i="7" s="1"/>
  <c r="G70" i="7" s="1"/>
  <c r="J63" i="7" s="1"/>
</calcChain>
</file>

<file path=xl/comments1.xml><?xml version="1.0" encoding="utf-8"?>
<comments xmlns="http://schemas.openxmlformats.org/spreadsheetml/2006/main">
  <authors>
    <author>Training The Street, Inc.</author>
  </authors>
  <commentList>
    <comment ref="G68" authorId="0" shapeId="0">
      <text>
        <r>
          <rPr>
            <b/>
            <sz val="8"/>
            <color indexed="81"/>
            <rFont val="Tahoma"/>
            <family val="2"/>
          </rPr>
          <t>Training The Street, Inc.:</t>
        </r>
        <r>
          <rPr>
            <sz val="8"/>
            <color indexed="81"/>
            <rFont val="Tahoma"/>
            <family val="2"/>
          </rPr>
          <t xml:space="preserve">
Includes Preferred Stock and Non-controling Interest</t>
        </r>
      </text>
    </comment>
  </commentList>
</comments>
</file>

<file path=xl/comments2.xml><?xml version="1.0" encoding="utf-8"?>
<comments xmlns="http://schemas.openxmlformats.org/spreadsheetml/2006/main">
  <authors>
    <author>Training The Street, Inc.</author>
  </authors>
  <commentList>
    <comment ref="G68" authorId="0" shapeId="0">
      <text>
        <r>
          <rPr>
            <b/>
            <sz val="8"/>
            <color indexed="81"/>
            <rFont val="Tahoma"/>
            <family val="2"/>
          </rPr>
          <t>Training The Street, Inc.:</t>
        </r>
        <r>
          <rPr>
            <sz val="8"/>
            <color indexed="81"/>
            <rFont val="Tahoma"/>
            <family val="2"/>
          </rPr>
          <t xml:space="preserve">
Includes Preferred Stock and Non-controling Interest</t>
        </r>
      </text>
    </comment>
  </commentList>
</comments>
</file>

<file path=xl/comments3.xml><?xml version="1.0" encoding="utf-8"?>
<comments xmlns="http://schemas.openxmlformats.org/spreadsheetml/2006/main">
  <authors>
    <author>Training The Street, Inc.</author>
  </authors>
  <commentList>
    <comment ref="G68" authorId="0" shapeId="0">
      <text>
        <r>
          <rPr>
            <b/>
            <sz val="8"/>
            <color indexed="81"/>
            <rFont val="Tahoma"/>
            <family val="2"/>
          </rPr>
          <t>Training The Street, Inc.:</t>
        </r>
        <r>
          <rPr>
            <sz val="8"/>
            <color indexed="81"/>
            <rFont val="Tahoma"/>
            <family val="2"/>
          </rPr>
          <t xml:space="preserve">
Includes Preferred Stock and Non-controling Interest</t>
        </r>
      </text>
    </comment>
  </commentList>
</comments>
</file>

<file path=xl/comments4.xml><?xml version="1.0" encoding="utf-8"?>
<comments xmlns="http://schemas.openxmlformats.org/spreadsheetml/2006/main">
  <authors>
    <author>Training The Street, Inc.</author>
  </authors>
  <commentList>
    <comment ref="G68" authorId="0" shapeId="0">
      <text>
        <r>
          <rPr>
            <b/>
            <sz val="8"/>
            <color indexed="81"/>
            <rFont val="Tahoma"/>
            <family val="2"/>
          </rPr>
          <t>Training The Street, Inc.:</t>
        </r>
        <r>
          <rPr>
            <sz val="8"/>
            <color indexed="81"/>
            <rFont val="Tahoma"/>
            <family val="2"/>
          </rPr>
          <t xml:space="preserve">
Includes Preferred Stock and Non-controling Interest</t>
        </r>
      </text>
    </comment>
  </commentList>
</comments>
</file>

<file path=xl/comments5.xml><?xml version="1.0" encoding="utf-8"?>
<comments xmlns="http://schemas.openxmlformats.org/spreadsheetml/2006/main">
  <authors>
    <author>Training The Street, Inc.</author>
  </authors>
  <commentList>
    <comment ref="G68" authorId="0" shapeId="0">
      <text>
        <r>
          <rPr>
            <b/>
            <sz val="8"/>
            <color indexed="81"/>
            <rFont val="Tahoma"/>
            <family val="2"/>
          </rPr>
          <t>Training The Street, Inc.:</t>
        </r>
        <r>
          <rPr>
            <sz val="8"/>
            <color indexed="81"/>
            <rFont val="Tahoma"/>
            <family val="2"/>
          </rPr>
          <t xml:space="preserve">
Includes Preferred Stock and Non-controling Interest</t>
        </r>
      </text>
    </comment>
  </commentList>
</comments>
</file>

<file path=xl/comments6.xml><?xml version="1.0" encoding="utf-8"?>
<comments xmlns="http://schemas.openxmlformats.org/spreadsheetml/2006/main">
  <authors>
    <author>Training The Street, Inc.</author>
  </authors>
  <commentList>
    <comment ref="G68" authorId="0" shapeId="0">
      <text>
        <r>
          <rPr>
            <b/>
            <sz val="8"/>
            <color indexed="81"/>
            <rFont val="Tahoma"/>
            <family val="2"/>
          </rPr>
          <t>Training The Street, Inc.:</t>
        </r>
        <r>
          <rPr>
            <sz val="8"/>
            <color indexed="81"/>
            <rFont val="Tahoma"/>
            <family val="2"/>
          </rPr>
          <t xml:space="preserve">
Includes Preferred Stock and Non-controling Interest</t>
        </r>
      </text>
    </comment>
  </commentList>
</comments>
</file>

<file path=xl/comments7.xml><?xml version="1.0" encoding="utf-8"?>
<comments xmlns="http://schemas.openxmlformats.org/spreadsheetml/2006/main">
  <authors>
    <author>Training The Street, Inc.</author>
  </authors>
  <commentList>
    <comment ref="G68" authorId="0" shapeId="0">
      <text>
        <r>
          <rPr>
            <b/>
            <sz val="8"/>
            <color indexed="81"/>
            <rFont val="Tahoma"/>
            <family val="2"/>
          </rPr>
          <t>Training The Street, Inc.:</t>
        </r>
        <r>
          <rPr>
            <sz val="8"/>
            <color indexed="81"/>
            <rFont val="Tahoma"/>
            <family val="2"/>
          </rPr>
          <t xml:space="preserve">
Includes Preferred Stock and Non-controling Interest</t>
        </r>
      </text>
    </comment>
  </commentList>
</comments>
</file>

<file path=xl/sharedStrings.xml><?xml version="1.0" encoding="utf-8"?>
<sst xmlns="http://schemas.openxmlformats.org/spreadsheetml/2006/main" count="673" uniqueCount="203">
  <si>
    <t>Online Training:</t>
  </si>
  <si>
    <t>Training The Street's online training delivers the same high-powered materials</t>
  </si>
  <si>
    <t>Training The Street, Inc.</t>
  </si>
  <si>
    <t xml:space="preserve"> ● Corporate Valuation</t>
  </si>
  <si>
    <t xml:space="preserve">and instruction style featured at live seminars in an innovative combination of </t>
  </si>
  <si>
    <t>275 Madison Avenue  Suite 1201</t>
  </si>
  <si>
    <t xml:space="preserve"> ● Excel Best Practices</t>
  </si>
  <si>
    <t xml:space="preserve">New York, NY 10016 USA </t>
  </si>
  <si>
    <t xml:space="preserve"> ● Financial Modeling </t>
  </si>
  <si>
    <r>
      <t xml:space="preserve">Tel: +1 (800) 887-1320 </t>
    </r>
    <r>
      <rPr>
        <sz val="8"/>
        <rFont val="Arial"/>
        <family val="2"/>
      </rPr>
      <t>(in the United States)</t>
    </r>
  </si>
  <si>
    <t xml:space="preserve"> ● Merger Modeling </t>
  </si>
  <si>
    <r>
      <t xml:space="preserve">      +1 (704) 927-9688 </t>
    </r>
    <r>
      <rPr>
        <sz val="8"/>
        <rFont val="Arial"/>
        <family val="2"/>
      </rPr>
      <t xml:space="preserve">(outside the United States) </t>
    </r>
  </si>
  <si>
    <t>Fax:+1 (704) 547-3261</t>
  </si>
  <si>
    <r>
      <t xml:space="preserve">Email:  </t>
    </r>
    <r>
      <rPr>
        <u/>
        <sz val="10"/>
        <color indexed="12"/>
        <rFont val="Arial"/>
        <family val="2"/>
      </rPr>
      <t xml:space="preserve">info@trainingthestreet.com </t>
    </r>
  </si>
  <si>
    <t xml:space="preserve">Live Training: </t>
  </si>
  <si>
    <t xml:space="preserve">Corporate Valuation and Financial Modeling workshops ideal for industry </t>
  </si>
  <si>
    <t xml:space="preserve">professionals, students and prospective new hires.  </t>
  </si>
  <si>
    <t xml:space="preserve">Evening &amp; Weekend </t>
  </si>
  <si>
    <t xml:space="preserve">Classes </t>
  </si>
  <si>
    <t>Public Comparables, Acquisition Comparables, Financial Modeling</t>
  </si>
  <si>
    <t>Discounted Cash Flow, Merger Modeling, Leveraged Buyouts</t>
  </si>
  <si>
    <t>TTS Macros List?</t>
  </si>
  <si>
    <t xml:space="preserve">Do you want us to send you our latest updates? </t>
  </si>
  <si>
    <t>x</t>
  </si>
  <si>
    <t>Company Name</t>
  </si>
  <si>
    <t>Subheader</t>
  </si>
  <si>
    <t>Sample Company</t>
  </si>
  <si>
    <t>Dollars in millions, except per share</t>
  </si>
  <si>
    <t>Historical</t>
  </si>
  <si>
    <t>Projected</t>
  </si>
  <si>
    <t>CAGR</t>
  </si>
  <si>
    <t>Sales</t>
  </si>
  <si>
    <t>Cost of goods sold</t>
  </si>
  <si>
    <t>Gross profit</t>
  </si>
  <si>
    <t>Selling, general &amp; administrative</t>
  </si>
  <si>
    <t>EBITDA</t>
  </si>
  <si>
    <t>Less:  depreciation</t>
  </si>
  <si>
    <t>Less:  amortization</t>
  </si>
  <si>
    <t>EBIT</t>
  </si>
  <si>
    <t>Less: taxes @</t>
  </si>
  <si>
    <t>Tax-effected EBIT</t>
  </si>
  <si>
    <t>Cell Anchoring</t>
  </si>
  <si>
    <t>Plus:  depreciation &amp; amortization</t>
  </si>
  <si>
    <t>Windows</t>
  </si>
  <si>
    <t>Mac</t>
  </si>
  <si>
    <t>Less: capital expenditures</t>
  </si>
  <si>
    <t>Edit Cell</t>
  </si>
  <si>
    <t>F2</t>
  </si>
  <si>
    <t>Ctl+U</t>
  </si>
  <si>
    <t>Less: additions to intangibles</t>
  </si>
  <si>
    <t>Anchor Cell</t>
  </si>
  <si>
    <t>F4</t>
  </si>
  <si>
    <t>Cmd+T</t>
  </si>
  <si>
    <t>+ / -  Changes in working capital</t>
  </si>
  <si>
    <t>Unlevered free cash flow</t>
  </si>
  <si>
    <t>Value Drivers</t>
  </si>
  <si>
    <t>Step</t>
  </si>
  <si>
    <t>Sales growth</t>
  </si>
  <si>
    <t>Cost of goods sold (as a % sales)</t>
  </si>
  <si>
    <t>SG&amp;A (as a % sales)</t>
  </si>
  <si>
    <t>EBITDA margin</t>
  </si>
  <si>
    <t>CapEx (as a % sales)</t>
  </si>
  <si>
    <t>Depreciation (as a % of CapEx)</t>
  </si>
  <si>
    <t>Additions to intangibles (amount)</t>
  </si>
  <si>
    <t>Amortization (amount)</t>
  </si>
  <si>
    <t>Changes in working capital (as a % of Sales)</t>
  </si>
  <si>
    <t>Weighted average cost of capital</t>
  </si>
  <si>
    <t>Equity value per share</t>
  </si>
  <si>
    <t>Terminal growth of unlevered FCF</t>
  </si>
  <si>
    <t>COGS Step</t>
  </si>
  <si>
    <t>Sales Step</t>
  </si>
  <si>
    <t>NPV of unlevered free cash flow</t>
  </si>
  <si>
    <t>Terminal value</t>
  </si>
  <si>
    <t>PV of terminal value</t>
  </si>
  <si>
    <t>Enterprise value</t>
  </si>
  <si>
    <t xml:space="preserve">  Less: debt</t>
  </si>
  <si>
    <t>COGS/Sales</t>
  </si>
  <si>
    <t>3) Select Data Table</t>
  </si>
  <si>
    <t xml:space="preserve">  Add: cash</t>
  </si>
  <si>
    <t>Equity value</t>
  </si>
  <si>
    <r>
      <t xml:space="preserve">      (93-2003) </t>
    </r>
    <r>
      <rPr>
        <sz val="10"/>
        <rFont val="Arial"/>
        <family val="2"/>
      </rPr>
      <t xml:space="preserve">Select Data, Table (Alt D T) </t>
    </r>
  </si>
  <si>
    <r>
      <t xml:space="preserve">      (Mac) </t>
    </r>
    <r>
      <rPr>
        <sz val="10"/>
        <rFont val="Arial"/>
        <family val="2"/>
      </rPr>
      <t>Cmd+Shift+? and type "Data Table"</t>
    </r>
  </si>
  <si>
    <t>Diluted Shares:</t>
  </si>
  <si>
    <r>
      <t xml:space="preserve">5) Press ENTER then F9 </t>
    </r>
    <r>
      <rPr>
        <sz val="8"/>
        <rFont val="Arial"/>
        <family val="2"/>
      </rPr>
      <t>(Windows)</t>
    </r>
    <r>
      <rPr>
        <sz val="10"/>
        <rFont val="Arial"/>
        <family val="2"/>
      </rPr>
      <t xml:space="preserve"> or Cmd+= </t>
    </r>
    <r>
      <rPr>
        <sz val="8"/>
        <rFont val="Arial"/>
        <family val="2"/>
      </rPr>
      <t>(Mac)</t>
    </r>
    <r>
      <rPr>
        <sz val="10"/>
        <rFont val="Arial"/>
        <family val="2"/>
      </rPr>
      <t xml:space="preserve"> to calculate</t>
    </r>
  </si>
  <si>
    <t>Equity Value Per Share</t>
  </si>
  <si>
    <t>6) Stress test your data!</t>
  </si>
  <si>
    <t>END</t>
  </si>
  <si>
    <t xml:space="preserve">Public Courses, </t>
  </si>
  <si>
    <t>The Methodology and Steps</t>
  </si>
  <si>
    <t xml:space="preserve">      be sure to source your adjustments</t>
  </si>
  <si>
    <t xml:space="preserve">    - Format cells as you go along</t>
  </si>
  <si>
    <t xml:space="preserve">      Are the assumptions reasonable and defensible?</t>
  </si>
  <si>
    <t xml:space="preserve">    - Calculate the EBITDA Margin</t>
  </si>
  <si>
    <t xml:space="preserve">    - Historical ratios will serve as a guide for the projections</t>
  </si>
  <si>
    <t>4,5</t>
  </si>
  <si>
    <t>- Footnote your sources</t>
  </si>
  <si>
    <t>- Sources: Management numbers, research or historical performance</t>
  </si>
  <si>
    <t>- Drivers: margin assumptions for future operating expenses</t>
  </si>
  <si>
    <t>- Drivers: projected annual sales growth rates</t>
  </si>
  <si>
    <r>
      <rPr>
        <b/>
        <sz val="10"/>
        <rFont val="Arial"/>
        <family val="2"/>
      </rPr>
      <t>Anchor Cell:</t>
    </r>
    <r>
      <rPr>
        <sz val="10"/>
        <rFont val="Arial"/>
        <family val="2"/>
      </rPr>
      <t xml:space="preserve"> $B$5 stays $B$5</t>
    </r>
  </si>
  <si>
    <r>
      <rPr>
        <b/>
        <sz val="10"/>
        <rFont val="Arial"/>
        <family val="2"/>
      </rPr>
      <t>Anchor Row:</t>
    </r>
    <r>
      <rPr>
        <sz val="10"/>
        <rFont val="Arial"/>
        <family val="2"/>
      </rPr>
      <t xml:space="preserve"> B$5 changes to D$5</t>
    </r>
  </si>
  <si>
    <r>
      <t xml:space="preserve">Anchor Column: </t>
    </r>
    <r>
      <rPr>
        <sz val="10"/>
        <rFont val="Arial"/>
        <family val="2"/>
      </rPr>
      <t>$B5 changes to $B7</t>
    </r>
  </si>
  <si>
    <r>
      <t xml:space="preserve">Relative Reference: </t>
    </r>
    <r>
      <rPr>
        <sz val="10"/>
        <rFont val="Arial"/>
        <family val="2"/>
      </rPr>
      <t>B5 changes to D7</t>
    </r>
  </si>
  <si>
    <t>Assume cell B5 is copied to cell D7</t>
  </si>
  <si>
    <r>
      <t>      (2007-2016) </t>
    </r>
    <r>
      <rPr>
        <sz val="10"/>
        <rFont val="Arial"/>
        <family val="2"/>
      </rPr>
      <t xml:space="preserve"> Select Data, What-If Analysis, Data Table (Alt A W T)</t>
    </r>
  </si>
  <si>
    <t xml:space="preserve">    - Alternative to having all BLUE inputs</t>
  </si>
  <si>
    <t xml:space="preserve">    - Often used if increasing or decreasing an</t>
  </si>
  <si>
    <t xml:space="preserve">      assumption by a constant amount</t>
  </si>
  <si>
    <t xml:space="preserve">    - Calculate totals down to EBITDA, but leave </t>
  </si>
  <si>
    <t xml:space="preserve">      D&amp;A blank for now</t>
  </si>
  <si>
    <t>- Sources: Management numbers, research or historical</t>
  </si>
  <si>
    <t xml:space="preserve">  Also popular to see based on reasonable “hard dollars” or other</t>
  </si>
  <si>
    <t xml:space="preserve">  appropriate drivers</t>
  </si>
  <si>
    <t xml:space="preserve">- Choose a reasonable method to project depreciation: </t>
  </si>
  <si>
    <t xml:space="preserve">  As a % of CapEx, as a % of sales or “hard dollars”</t>
  </si>
  <si>
    <t xml:space="preserve">- The trend and relationship between CapEx and depreciation </t>
  </si>
  <si>
    <t>- CapEx as % sales is a common driver if no guidance is available</t>
  </si>
  <si>
    <t xml:space="preserve">    - Is the company purchasing new intangibles?
</t>
  </si>
  <si>
    <t xml:space="preserve">    - Common to see this driven by either % of sales or dollar amount
</t>
  </si>
  <si>
    <t xml:space="preserve">    - Review historicals, research or management expectations
</t>
  </si>
  <si>
    <t xml:space="preserve">    - Calculate totals</t>
  </si>
  <si>
    <t xml:space="preserve">    - Calculate taxes</t>
  </si>
  <si>
    <t xml:space="preserve">    - Calculate Compound Annual Growth Rates (CAGRs)</t>
  </si>
  <si>
    <r>
      <t xml:space="preserve">              - </t>
    </r>
    <r>
      <rPr>
        <b/>
        <sz val="10"/>
        <rFont val="Arial"/>
        <family val="2"/>
      </rPr>
      <t>Rate Function:</t>
    </r>
    <r>
      <rPr>
        <sz val="10"/>
        <rFont val="Arial"/>
        <family val="2"/>
      </rPr>
      <t xml:space="preserve">  RATE(nper,pmt, pv, [fv])</t>
    </r>
  </si>
  <si>
    <r>
      <t xml:space="preserve">              - </t>
    </r>
    <r>
      <rPr>
        <b/>
        <sz val="10"/>
        <rFont val="Arial"/>
        <family val="2"/>
      </rPr>
      <t>Formula:</t>
    </r>
    <r>
      <rPr>
        <sz val="10"/>
        <rFont val="Arial"/>
        <family val="2"/>
      </rPr>
      <t xml:space="preserve">  </t>
    </r>
  </si>
  <si>
    <t xml:space="preserve">    - Add right border on the last historical year as a "divider"</t>
  </si>
  <si>
    <t>- Estimate the Weighted Average Cost of Capital (WACC)</t>
  </si>
  <si>
    <t>- Sources: Management, research or corporate finance theory</t>
  </si>
  <si>
    <r>
      <t xml:space="preserve">              - </t>
    </r>
    <r>
      <rPr>
        <b/>
        <sz val="10"/>
        <rFont val="Arial"/>
        <family val="2"/>
      </rPr>
      <t>NPV Function:</t>
    </r>
    <r>
      <rPr>
        <sz val="10"/>
        <rFont val="Arial"/>
        <family val="2"/>
      </rPr>
      <t xml:space="preserve">  NPV(rate,value1, value2, value3...)</t>
    </r>
  </si>
  <si>
    <t>- Assumes the business grows at a constant rate in perpetuity</t>
  </si>
  <si>
    <t>FCF = normalized free cash flow in Period N</t>
  </si>
  <si>
    <t>g = nominal perpetual growth rate</t>
  </si>
  <si>
    <t>r = discount rate or WACC</t>
  </si>
  <si>
    <t>- Calculate the net present value:</t>
  </si>
  <si>
    <t xml:space="preserve">    - Use the formula builder and the PV function</t>
  </si>
  <si>
    <r>
      <t xml:space="preserve">              - </t>
    </r>
    <r>
      <rPr>
        <b/>
        <sz val="10"/>
        <rFont val="Arial"/>
        <family val="2"/>
      </rPr>
      <t>PV Function:</t>
    </r>
    <r>
      <rPr>
        <sz val="10"/>
        <rFont val="Arial"/>
        <family val="2"/>
      </rPr>
      <t xml:space="preserve">  PV(rate,nper, pmt, [fv])</t>
    </r>
  </si>
  <si>
    <t xml:space="preserve">    - Input the latest financial information</t>
  </si>
  <si>
    <t xml:space="preserve">    - Equity Value = Enterprise Value + "Net Debt"</t>
  </si>
  <si>
    <t xml:space="preserve">    - NPV of cash flows + PV of Terminal Value</t>
  </si>
  <si>
    <t xml:space="preserve">    - Divide equity value by the latest diluted share count</t>
  </si>
  <si>
    <t>7,8</t>
  </si>
  <si>
    <t>Compound Annual Growth Rates (CAGRs)</t>
  </si>
  <si>
    <r>
      <t xml:space="preserve">       - </t>
    </r>
    <r>
      <rPr>
        <b/>
        <sz val="10"/>
        <rFont val="Arial"/>
        <family val="2"/>
      </rPr>
      <t>Rate Function:</t>
    </r>
    <r>
      <rPr>
        <sz val="10"/>
        <rFont val="Arial"/>
        <family val="2"/>
      </rPr>
      <t xml:space="preserve">  RATE(nper,pmt, pv, [fv])</t>
    </r>
  </si>
  <si>
    <r>
      <t xml:space="preserve">       - </t>
    </r>
    <r>
      <rPr>
        <b/>
        <sz val="10"/>
        <rFont val="Arial"/>
        <family val="2"/>
      </rPr>
      <t>Formula:</t>
    </r>
    <r>
      <rPr>
        <sz val="10"/>
        <rFont val="Arial"/>
        <family val="2"/>
      </rPr>
      <t xml:space="preserve">  </t>
    </r>
  </si>
  <si>
    <t>Weighted Average Cost of Capital (WACC)</t>
  </si>
  <si>
    <r>
      <t xml:space="preserve">       - </t>
    </r>
    <r>
      <rPr>
        <b/>
        <sz val="10"/>
        <rFont val="Arial"/>
        <family val="2"/>
      </rPr>
      <t>NPV Function:</t>
    </r>
    <r>
      <rPr>
        <sz val="10"/>
        <rFont val="Arial"/>
        <family val="2"/>
      </rPr>
      <t xml:space="preserve">  NPV(rate,value1, value2, value3...)</t>
    </r>
  </si>
  <si>
    <r>
      <t xml:space="preserve">       - </t>
    </r>
    <r>
      <rPr>
        <b/>
        <sz val="10"/>
        <rFont val="Arial"/>
        <family val="2"/>
      </rPr>
      <t>PV Function:</t>
    </r>
    <r>
      <rPr>
        <sz val="10"/>
        <rFont val="Arial"/>
        <family val="2"/>
      </rPr>
      <t xml:space="preserve">  PV(rate,nper, pmt, [fv])</t>
    </r>
  </si>
  <si>
    <t>Present Value</t>
  </si>
  <si>
    <t>Enterprise Value</t>
  </si>
  <si>
    <t>NPV of cash flows + PV of Terminal Value</t>
  </si>
  <si>
    <t>TTS Help</t>
  </si>
  <si>
    <t>Step 1</t>
  </si>
  <si>
    <t>Gross Profit</t>
  </si>
  <si>
    <t xml:space="preserve">EBIT </t>
  </si>
  <si>
    <t>Taxes</t>
  </si>
  <si>
    <t>Unlevered FCF</t>
  </si>
  <si>
    <t>Sales Growth</t>
  </si>
  <si>
    <t>EBITDA Margin</t>
  </si>
  <si>
    <t>Step 2</t>
  </si>
  <si>
    <t>COGS (% of sales)</t>
  </si>
  <si>
    <t>Sales Growth Flatline</t>
  </si>
  <si>
    <t>COGS Flatline</t>
  </si>
  <si>
    <t>SG&amp;A Flatline</t>
  </si>
  <si>
    <t>Step 3</t>
  </si>
  <si>
    <t>Step 4</t>
  </si>
  <si>
    <t>Step 5</t>
  </si>
  <si>
    <t>Step 6</t>
  </si>
  <si>
    <t>COGS Flatline + Step</t>
  </si>
  <si>
    <t>Step 7</t>
  </si>
  <si>
    <t>Step 8</t>
  </si>
  <si>
    <t>Step 9</t>
  </si>
  <si>
    <t>Step 10</t>
  </si>
  <si>
    <t>NPV of Unlevered FCF</t>
  </si>
  <si>
    <t>Terminal Value</t>
  </si>
  <si>
    <t>PV of Terminal Value</t>
  </si>
  <si>
    <t>Equity Value</t>
  </si>
  <si>
    <t>Equity Value / Share</t>
  </si>
  <si>
    <t>Last Fiscal Year End</t>
  </si>
  <si>
    <t xml:space="preserve">video and dynamic Excel modeling drills. Our content is designed to equip or </t>
  </si>
  <si>
    <t xml:space="preserve">enhance your corporate valuation and financial modeling skills to best prepare </t>
  </si>
  <si>
    <t xml:space="preserve">you for an interview, a new profession or a specific job function.  </t>
  </si>
  <si>
    <t xml:space="preserve"> ● LBO Modeling </t>
  </si>
  <si>
    <t>http://www.trainingthestreet.com/</t>
  </si>
  <si>
    <t>http://trainingthestreet.com/public_courses/course-calendar/</t>
  </si>
  <si>
    <t>http://trainingthestreet.com/macros/</t>
  </si>
  <si>
    <t xml:space="preserve">  is key.  Use step function to move toward "Maintenance Capex"</t>
  </si>
  <si>
    <t xml:space="preserve">    - Examine the footnotes for disclosure on amortization expense</t>
  </si>
  <si>
    <t xml:space="preserve">    - Add back sum of D&amp;A because it is a non-cash expense</t>
  </si>
  <si>
    <t xml:space="preserve">J54 = </t>
  </si>
  <si>
    <t>J34 / J29</t>
  </si>
  <si>
    <t>D + E</t>
  </si>
  <si>
    <r>
      <t>(1+r)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   (1+r)</t>
    </r>
    <r>
      <rPr>
        <vertAlign val="superscript"/>
        <sz val="8"/>
        <rFont val="Arial"/>
        <family val="2"/>
      </rPr>
      <t xml:space="preserve">2              </t>
    </r>
    <r>
      <rPr>
        <sz val="8"/>
        <rFont val="Arial"/>
        <family val="2"/>
      </rPr>
      <t>(1+r)</t>
    </r>
    <r>
      <rPr>
        <vertAlign val="superscript"/>
        <sz val="8"/>
        <rFont val="Arial"/>
        <family val="2"/>
      </rPr>
      <t>3</t>
    </r>
  </si>
  <si>
    <r>
      <rPr>
        <u/>
        <sz val="8"/>
        <rFont val="Arial"/>
        <family val="2"/>
      </rPr>
      <t xml:space="preserve">  CF</t>
    </r>
    <r>
      <rPr>
        <u/>
        <vertAlign val="subscript"/>
        <sz val="8"/>
        <rFont val="Arial"/>
        <family val="2"/>
      </rPr>
      <t xml:space="preserve">1  </t>
    </r>
    <r>
      <rPr>
        <vertAlign val="subscript"/>
        <sz val="8"/>
        <rFont val="Arial"/>
        <family val="2"/>
      </rPr>
      <t xml:space="preserve">  </t>
    </r>
    <r>
      <rPr>
        <sz val="8"/>
        <rFont val="Arial"/>
        <family val="2"/>
      </rPr>
      <t xml:space="preserve">+  </t>
    </r>
    <r>
      <rPr>
        <u/>
        <sz val="8"/>
        <rFont val="Arial"/>
        <family val="2"/>
      </rPr>
      <t xml:space="preserve"> CF</t>
    </r>
    <r>
      <rPr>
        <u/>
        <vertAlign val="subscript"/>
        <sz val="8"/>
        <rFont val="Arial"/>
        <family val="2"/>
      </rPr>
      <t>2</t>
    </r>
    <r>
      <rPr>
        <u/>
        <sz val="8"/>
        <rFont val="Arial"/>
        <family val="2"/>
      </rPr>
      <t xml:space="preserve">  </t>
    </r>
    <r>
      <rPr>
        <sz val="8"/>
        <rFont val="Arial"/>
        <family val="2"/>
      </rPr>
      <t xml:space="preserve">  + … </t>
    </r>
    <r>
      <rPr>
        <u/>
        <sz val="8"/>
        <rFont val="Arial"/>
        <family val="2"/>
      </rPr>
      <t xml:space="preserve"> CF</t>
    </r>
    <r>
      <rPr>
        <u/>
        <vertAlign val="subscript"/>
        <sz val="8"/>
        <rFont val="Arial"/>
        <family val="2"/>
      </rPr>
      <t xml:space="preserve">n  </t>
    </r>
  </si>
  <si>
    <t xml:space="preserve">               (r - g)</t>
  </si>
  <si>
    <r>
      <t xml:space="preserve">Terminal Value =  </t>
    </r>
    <r>
      <rPr>
        <u/>
        <sz val="10"/>
        <rFont val="Arial"/>
        <family val="2"/>
      </rPr>
      <t>FCFn x (1 + g)</t>
    </r>
  </si>
  <si>
    <r>
      <rPr>
        <u/>
        <sz val="8"/>
        <rFont val="Arial"/>
        <family val="2"/>
      </rPr>
      <t xml:space="preserve">   E   </t>
    </r>
    <r>
      <rPr>
        <sz val="8"/>
        <rFont val="Arial"/>
        <family val="2"/>
      </rPr>
      <t xml:space="preserve">  +  K</t>
    </r>
    <r>
      <rPr>
        <vertAlign val="subscript"/>
        <sz val="8"/>
        <rFont val="Arial"/>
        <family val="2"/>
      </rPr>
      <t xml:space="preserve">d  </t>
    </r>
    <r>
      <rPr>
        <sz val="8"/>
        <rFont val="Arial"/>
        <family val="2"/>
      </rPr>
      <t xml:space="preserve">x (1 + T)  x  </t>
    </r>
    <r>
      <rPr>
        <u/>
        <sz val="8"/>
        <rFont val="Arial"/>
        <family val="2"/>
      </rPr>
      <t xml:space="preserve">    D   </t>
    </r>
  </si>
  <si>
    <t xml:space="preserve">                D + E</t>
  </si>
  <si>
    <r>
      <t>WACC = K</t>
    </r>
    <r>
      <rPr>
        <vertAlign val="subscript"/>
        <sz val="8"/>
        <rFont val="Arial"/>
        <family val="2"/>
      </rPr>
      <t xml:space="preserve">e  </t>
    </r>
    <r>
      <rPr>
        <sz val="8"/>
        <rFont val="Arial"/>
        <family val="2"/>
      </rPr>
      <t>x</t>
    </r>
  </si>
  <si>
    <r>
      <t>(FV / PV)</t>
    </r>
    <r>
      <rPr>
        <vertAlign val="superscript"/>
        <sz val="8"/>
        <rFont val="Arial"/>
        <family val="2"/>
      </rPr>
      <t xml:space="preserve"> (1/N) </t>
    </r>
    <r>
      <rPr>
        <sz val="8"/>
        <rFont val="Arial"/>
        <family val="2"/>
      </rPr>
      <t>-1</t>
    </r>
  </si>
  <si>
    <r>
      <t>(FV / PV)</t>
    </r>
    <r>
      <rPr>
        <vertAlign val="superscript"/>
        <sz val="8"/>
        <rFont val="Arial"/>
        <family val="2"/>
      </rPr>
      <t xml:space="preserve"> (1/n) </t>
    </r>
    <r>
      <rPr>
        <sz val="8"/>
        <rFont val="Arial"/>
        <family val="2"/>
      </rPr>
      <t>-1</t>
    </r>
  </si>
  <si>
    <r>
      <t xml:space="preserve">2) </t>
    </r>
    <r>
      <rPr>
        <sz val="8"/>
        <rFont val="Arial"/>
        <family val="2"/>
      </rPr>
      <t>(2007-2016)</t>
    </r>
    <r>
      <rPr>
        <sz val="10"/>
        <rFont val="Arial"/>
        <family val="2"/>
      </rPr>
      <t> Home, Conditional Formatting, New Rule (Alt H L N)</t>
    </r>
  </si>
  <si>
    <r>
      <t xml:space="preserve">    </t>
    </r>
    <r>
      <rPr>
        <sz val="8"/>
        <rFont val="Arial"/>
        <family val="2"/>
      </rPr>
      <t>(Mac)</t>
    </r>
    <r>
      <rPr>
        <sz val="10"/>
        <rFont val="Arial"/>
        <family val="2"/>
      </rPr>
      <t> Cmd+Shift+? ''Conditional Formatting'' New Formatting Rule"</t>
    </r>
  </si>
  <si>
    <r>
      <t xml:space="preserve">    </t>
    </r>
    <r>
      <rPr>
        <sz val="8"/>
        <rFont val="Arial"/>
        <family val="2"/>
      </rPr>
      <t>(93-2003)</t>
    </r>
    <r>
      <rPr>
        <sz val="10"/>
        <rFont val="Arial"/>
        <family val="2"/>
      </rPr>
      <t> Format, Conditional Formatting (Alt O 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</si>
</sst>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7" formatCode="&quot;$&quot;#,##0.00_);\(&quot;$&quot;#,##0.00\)"/>
    <numFmt numFmtId="8" formatCode="&quot;$&quot;#,##0.00_);[Red]\(&quot;$&quot;#,##0.00\)"/>
    <numFmt numFmtId="164" formatCode="&quot;$&quot;#,##0.0_);\(&quot;$&quot;#,##0.0\)"/>
    <numFmt numFmtId="165" formatCode="0.0%_);\(0.0%\)"/>
    <numFmt numFmtId="166" formatCode="#,##0.0_);\(#,##0.0\)"/>
    <numFmt numFmtId="167" formatCode="0.00%_);\(0.00%\)"/>
    <numFmt numFmtId="168" formatCode="#,##0.000_);\(#,##0.000\)"/>
    <numFmt numFmtId="169" formatCode="0_);\(0\)"/>
    <numFmt numFmtId="170" formatCode="mmm\-d\-yyyy"/>
    <numFmt numFmtId="171" formatCode="&quot;Step &quot;0"/>
    <numFmt numFmtId="172" formatCode="&quot;Step &quot;0&quot;:&quot;"/>
  </numFmts>
  <fonts count="33" x14ac:knownFonts="1">
    <font>
      <sz val="10"/>
      <name val="Arial"/>
    </font>
    <font>
      <sz val="7"/>
      <color indexed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0"/>
      <color indexed="5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i/>
      <sz val="8"/>
      <name val="Arial"/>
      <family val="2"/>
    </font>
    <font>
      <i/>
      <sz val="10"/>
      <color indexed="12"/>
      <name val="Arial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sz val="10"/>
      <color indexed="22"/>
      <name val="Arial"/>
      <family val="2"/>
    </font>
    <font>
      <b/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25"/>
      <color rgb="FF2D4F2F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u/>
      <sz val="8"/>
      <name val="Arial"/>
      <family val="2"/>
    </font>
    <font>
      <vertAlign val="superscript"/>
      <sz val="8"/>
      <name val="Arial"/>
      <family val="2"/>
    </font>
    <font>
      <vertAlign val="subscript"/>
      <sz val="8"/>
      <name val="Arial"/>
      <family val="2"/>
    </font>
    <font>
      <u/>
      <vertAlign val="subscript"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78">
    <border>
      <left/>
      <right/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/>
      <right/>
      <top style="thin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/>
      <top/>
      <bottom/>
      <diagonal/>
    </border>
    <border>
      <left/>
      <right style="thin">
        <color theme="6" tint="-0.499984740745262"/>
      </right>
      <top/>
      <bottom/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/>
      <right/>
      <top/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23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23"/>
      </right>
      <top/>
      <bottom/>
      <diagonal/>
    </border>
    <border>
      <left style="thin">
        <color indexed="64"/>
      </left>
      <right/>
      <top/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 style="thin">
        <color indexed="64"/>
      </left>
      <right/>
      <top style="thin">
        <color indexed="64"/>
      </top>
      <bottom style="thick">
        <color indexed="23"/>
      </bottom>
      <diagonal/>
    </border>
    <border>
      <left/>
      <right/>
      <top style="thin">
        <color indexed="64"/>
      </top>
      <bottom style="thick">
        <color indexed="23"/>
      </bottom>
      <diagonal/>
    </border>
    <border>
      <left/>
      <right style="thick">
        <color indexed="23"/>
      </right>
      <top style="thin">
        <color indexed="64"/>
      </top>
      <bottom style="thick">
        <color indexed="2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6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6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6" tint="-0.499984740745262"/>
      </bottom>
      <diagonal/>
    </border>
    <border>
      <left style="thin">
        <color rgb="FF009900"/>
      </left>
      <right/>
      <top/>
      <bottom/>
      <diagonal/>
    </border>
    <border>
      <left style="thin">
        <color rgb="FF009900"/>
      </left>
      <right/>
      <top style="thin">
        <color rgb="FF009900"/>
      </top>
      <bottom/>
      <diagonal/>
    </border>
    <border>
      <left/>
      <right/>
      <top style="thin">
        <color rgb="FF009900"/>
      </top>
      <bottom/>
      <diagonal/>
    </border>
    <border>
      <left/>
      <right style="thin">
        <color rgb="FF009900"/>
      </right>
      <top style="thin">
        <color rgb="FF009900"/>
      </top>
      <bottom/>
      <diagonal/>
    </border>
    <border>
      <left/>
      <right style="thin">
        <color rgb="FF009900"/>
      </right>
      <top/>
      <bottom/>
      <diagonal/>
    </border>
    <border>
      <left style="thin">
        <color rgb="FF009900"/>
      </left>
      <right/>
      <top/>
      <bottom style="thin">
        <color rgb="FF009900"/>
      </bottom>
      <diagonal/>
    </border>
    <border>
      <left/>
      <right/>
      <top/>
      <bottom style="thin">
        <color rgb="FF009900"/>
      </bottom>
      <diagonal/>
    </border>
    <border>
      <left/>
      <right style="thin">
        <color rgb="FF009900"/>
      </right>
      <top/>
      <bottom style="thin">
        <color rgb="FF009900"/>
      </bottom>
      <diagonal/>
    </border>
    <border>
      <left style="dashed">
        <color rgb="FF3333FF"/>
      </left>
      <right style="dashed">
        <color rgb="FF3333FF"/>
      </right>
      <top style="dashed">
        <color rgb="FF3333FF"/>
      </top>
      <bottom/>
      <diagonal/>
    </border>
    <border>
      <left style="dashed">
        <color rgb="FF3333FF"/>
      </left>
      <right style="dashed">
        <color rgb="FF3333FF"/>
      </right>
      <top/>
      <bottom/>
      <diagonal/>
    </border>
    <border>
      <left style="dashed">
        <color rgb="FF3333FF"/>
      </left>
      <right style="dashed">
        <color rgb="FF3333FF"/>
      </right>
      <top/>
      <bottom style="dashed">
        <color rgb="FF3333FF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dashed">
        <color rgb="FF3333FF"/>
      </left>
      <right style="dashed">
        <color rgb="FF3333FF"/>
      </right>
      <top style="dashed">
        <color rgb="FF3333FF"/>
      </top>
      <bottom style="dashed">
        <color rgb="FF3333FF"/>
      </bottom>
      <diagonal/>
    </border>
    <border>
      <left/>
      <right/>
      <top style="dashed">
        <color rgb="FFFF0000"/>
      </top>
      <bottom style="dashed">
        <color rgb="FFFF0000"/>
      </bottom>
      <diagonal/>
    </border>
    <border>
      <left/>
      <right style="dashed">
        <color rgb="FFFF0000"/>
      </right>
      <top style="dashed">
        <color rgb="FFFF0000"/>
      </top>
      <bottom style="dashed">
        <color rgb="FFFF0000"/>
      </bottom>
      <diagonal/>
    </border>
    <border>
      <left/>
      <right/>
      <top/>
      <bottom style="dashed">
        <color rgb="FFFF0000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ashed">
        <color auto="1"/>
      </bottom>
      <diagonal/>
    </border>
    <border>
      <left style="dashed">
        <color rgb="FFFF0000"/>
      </left>
      <right/>
      <top/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/>
      <right/>
      <top style="dashed">
        <color auto="1"/>
      </top>
      <bottom/>
      <diagonal/>
    </border>
    <border>
      <left style="dashed">
        <color rgb="FF3333FF"/>
      </left>
      <right/>
      <top style="dashed">
        <color rgb="FFFF0000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rgb="FFFF0000"/>
      </left>
      <right/>
      <top style="dashed">
        <color rgb="FFFF0000"/>
      </top>
      <bottom style="dashed">
        <color rgb="FFFF0000"/>
      </bottom>
      <diagonal/>
    </border>
  </borders>
  <cellStyleXfs count="3">
    <xf numFmtId="0" fontId="0" fillId="0" borderId="0"/>
    <xf numFmtId="0" fontId="1" fillId="0" borderId="0">
      <protection locked="0"/>
    </xf>
    <xf numFmtId="0" fontId="26" fillId="0" borderId="0" applyNumberFormat="0" applyFill="0" applyBorder="0" applyAlignment="0" applyProtection="0"/>
  </cellStyleXfs>
  <cellXfs count="570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3" fillId="0" borderId="0" xfId="0" applyFont="1" applyBorder="1" applyProtection="1">
      <protection locked="0"/>
    </xf>
    <xf numFmtId="0" fontId="3" fillId="0" borderId="0" xfId="0" applyFont="1" applyBorder="1" applyAlignment="1" applyProtection="1">
      <protection locked="0"/>
    </xf>
    <xf numFmtId="0" fontId="5" fillId="0" borderId="0" xfId="0" applyFont="1" applyBorder="1" applyProtection="1">
      <protection locked="0"/>
    </xf>
    <xf numFmtId="0" fontId="8" fillId="0" borderId="20" xfId="0" applyFont="1" applyBorder="1" applyProtection="1">
      <protection locked="0"/>
    </xf>
    <xf numFmtId="0" fontId="5" fillId="0" borderId="20" xfId="0" applyFont="1" applyBorder="1" applyAlignment="1" applyProtection="1">
      <protection locked="0"/>
    </xf>
    <xf numFmtId="0" fontId="3" fillId="0" borderId="20" xfId="0" applyFont="1" applyBorder="1" applyProtection="1">
      <protection locked="0"/>
    </xf>
    <xf numFmtId="0" fontId="5" fillId="0" borderId="20" xfId="0" applyFont="1" applyBorder="1" applyProtection="1">
      <protection locked="0"/>
    </xf>
    <xf numFmtId="0" fontId="15" fillId="0" borderId="0" xfId="0" applyFont="1" applyBorder="1" applyProtection="1">
      <protection locked="0"/>
    </xf>
    <xf numFmtId="0" fontId="8" fillId="0" borderId="0" xfId="0" applyFont="1" applyBorder="1" applyProtection="1">
      <protection locked="0"/>
    </xf>
    <xf numFmtId="0" fontId="5" fillId="0" borderId="0" xfId="0" applyFont="1" applyBorder="1" applyAlignment="1" applyProtection="1">
      <protection locked="0"/>
    </xf>
    <xf numFmtId="0" fontId="3" fillId="0" borderId="14" xfId="0" applyFont="1" applyBorder="1" applyAlignment="1">
      <alignment horizontal="centerContinuous"/>
    </xf>
    <xf numFmtId="0" fontId="3" fillId="0" borderId="15" xfId="0" applyFont="1" applyBorder="1" applyAlignment="1">
      <alignment horizontal="centerContinuous"/>
    </xf>
    <xf numFmtId="0" fontId="3" fillId="0" borderId="16" xfId="0" applyFont="1" applyBorder="1" applyAlignment="1">
      <alignment horizontal="centerContinuous"/>
    </xf>
    <xf numFmtId="0" fontId="10" fillId="0" borderId="15" xfId="0" applyFont="1" applyBorder="1" applyAlignment="1">
      <alignment horizontal="centerContinuous"/>
    </xf>
    <xf numFmtId="0" fontId="10" fillId="0" borderId="16" xfId="0" applyFont="1" applyBorder="1" applyAlignment="1">
      <alignment horizontal="centerContinuous"/>
    </xf>
    <xf numFmtId="0" fontId="5" fillId="0" borderId="0" xfId="0" applyFont="1" applyAlignment="1" applyProtection="1">
      <alignment horizontal="left"/>
      <protection locked="0"/>
    </xf>
    <xf numFmtId="164" fontId="11" fillId="0" borderId="0" xfId="0" applyNumberFormat="1" applyFont="1" applyProtection="1">
      <protection locked="0"/>
    </xf>
    <xf numFmtId="164" fontId="5" fillId="0" borderId="0" xfId="0" applyNumberFormat="1" applyFont="1" applyBorder="1" applyProtection="1">
      <protection locked="0"/>
    </xf>
    <xf numFmtId="166" fontId="11" fillId="0" borderId="0" xfId="0" applyNumberFormat="1" applyFont="1" applyProtection="1">
      <protection locked="0"/>
    </xf>
    <xf numFmtId="166" fontId="5" fillId="0" borderId="0" xfId="0" applyNumberFormat="1" applyFont="1" applyBorder="1" applyProtection="1">
      <protection locked="0"/>
    </xf>
    <xf numFmtId="166" fontId="5" fillId="0" borderId="22" xfId="0" applyNumberFormat="1" applyFont="1" applyBorder="1" applyProtection="1">
      <protection locked="0"/>
    </xf>
    <xf numFmtId="166" fontId="5" fillId="0" borderId="0" xfId="0" applyNumberFormat="1" applyFont="1" applyProtection="1">
      <protection locked="0"/>
    </xf>
    <xf numFmtId="0" fontId="3" fillId="5" borderId="24" xfId="0" applyFont="1" applyFill="1" applyBorder="1" applyAlignment="1">
      <alignment horizontal="centerContinuous"/>
    </xf>
    <xf numFmtId="0" fontId="3" fillId="5" borderId="25" xfId="0" applyFont="1" applyFill="1" applyBorder="1" applyAlignment="1">
      <alignment horizontal="centerContinuous"/>
    </xf>
    <xf numFmtId="165" fontId="11" fillId="0" borderId="0" xfId="0" applyNumberFormat="1" applyFont="1" applyProtection="1">
      <protection locked="0"/>
    </xf>
    <xf numFmtId="0" fontId="3" fillId="5" borderId="23" xfId="0" applyFont="1" applyFill="1" applyBorder="1" applyAlignment="1">
      <alignment horizontal="centerContinuous"/>
    </xf>
    <xf numFmtId="0" fontId="5" fillId="6" borderId="26" xfId="0" applyFont="1" applyFill="1" applyBorder="1" applyAlignment="1">
      <alignment horizontal="left"/>
    </xf>
    <xf numFmtId="0" fontId="5" fillId="6" borderId="30" xfId="0" applyFont="1" applyFill="1" applyBorder="1" applyAlignment="1">
      <alignment horizontal="centerContinuous"/>
    </xf>
    <xf numFmtId="0" fontId="5" fillId="0" borderId="0" xfId="0" quotePrefix="1" applyFont="1" applyAlignment="1" applyProtection="1">
      <alignment horizontal="left"/>
      <protection locked="0"/>
    </xf>
    <xf numFmtId="0" fontId="11" fillId="0" borderId="0" xfId="0" applyFont="1" applyBorder="1" applyProtection="1">
      <protection locked="0"/>
    </xf>
    <xf numFmtId="0" fontId="3" fillId="0" borderId="0" xfId="0" applyFont="1" applyBorder="1" applyAlignment="1" applyProtection="1">
      <alignment horizontal="left"/>
      <protection locked="0"/>
    </xf>
    <xf numFmtId="164" fontId="3" fillId="0" borderId="0" xfId="0" applyNumberFormat="1" applyFont="1" applyProtection="1">
      <protection locked="0"/>
    </xf>
    <xf numFmtId="164" fontId="3" fillId="0" borderId="22" xfId="0" applyNumberFormat="1" applyFont="1" applyBorder="1" applyProtection="1">
      <protection locked="0"/>
    </xf>
    <xf numFmtId="164" fontId="3" fillId="0" borderId="0" xfId="0" applyNumberFormat="1" applyFont="1" applyBorder="1" applyProtection="1">
      <protection locked="0"/>
    </xf>
    <xf numFmtId="165" fontId="3" fillId="0" borderId="0" xfId="0" applyNumberFormat="1" applyFont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8" fillId="0" borderId="0" xfId="0" applyFont="1" applyBorder="1" applyAlignment="1" applyProtection="1">
      <alignment horizontal="left"/>
      <protection locked="0"/>
    </xf>
    <xf numFmtId="0" fontId="5" fillId="0" borderId="31" xfId="0" applyFont="1" applyBorder="1" applyProtection="1">
      <protection locked="0"/>
    </xf>
    <xf numFmtId="0" fontId="16" fillId="0" borderId="0" xfId="0" applyFont="1" applyAlignment="1" applyProtection="1">
      <protection locked="0"/>
    </xf>
    <xf numFmtId="0" fontId="16" fillId="0" borderId="0" xfId="0" applyFont="1" applyAlignment="1" applyProtection="1">
      <alignment horizontal="centerContinuous"/>
      <protection locked="0"/>
    </xf>
    <xf numFmtId="0" fontId="5" fillId="0" borderId="0" xfId="0" applyFont="1" applyFill="1" applyBorder="1" applyAlignment="1" applyProtection="1">
      <alignment horizontal="left"/>
      <protection locked="0"/>
    </xf>
    <xf numFmtId="0" fontId="5" fillId="0" borderId="0" xfId="0" applyFont="1" applyFill="1" applyAlignment="1" applyProtection="1">
      <alignment horizontal="left"/>
      <protection locked="0"/>
    </xf>
    <xf numFmtId="0" fontId="5" fillId="0" borderId="0" xfId="0" applyFont="1" applyFill="1" applyProtection="1">
      <protection locked="0"/>
    </xf>
    <xf numFmtId="164" fontId="5" fillId="0" borderId="0" xfId="0" applyNumberFormat="1" applyFont="1" applyProtection="1">
      <protection locked="0"/>
    </xf>
    <xf numFmtId="164" fontId="11" fillId="0" borderId="0" xfId="0" applyNumberFormat="1" applyFont="1" applyBorder="1" applyProtection="1">
      <protection locked="0"/>
    </xf>
    <xf numFmtId="164" fontId="17" fillId="0" borderId="0" xfId="0" applyNumberFormat="1" applyFont="1" applyProtection="1">
      <protection locked="0"/>
    </xf>
    <xf numFmtId="0" fontId="4" fillId="0" borderId="0" xfId="0" applyFont="1"/>
    <xf numFmtId="166" fontId="11" fillId="0" borderId="0" xfId="0" applyNumberFormat="1" applyFont="1" applyBorder="1" applyProtection="1">
      <protection locked="0"/>
    </xf>
    <xf numFmtId="0" fontId="11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5" fillId="0" borderId="32" xfId="0" applyFont="1" applyBorder="1" applyAlignment="1" applyProtection="1">
      <alignment horizontal="left"/>
      <protection locked="0"/>
    </xf>
    <xf numFmtId="0" fontId="5" fillId="0" borderId="22" xfId="0" applyFont="1" applyBorder="1" applyAlignment="1" applyProtection="1">
      <alignment horizontal="left"/>
      <protection locked="0"/>
    </xf>
    <xf numFmtId="0" fontId="5" fillId="0" borderId="22" xfId="0" applyFont="1" applyBorder="1" applyProtection="1">
      <protection locked="0"/>
    </xf>
    <xf numFmtId="167" fontId="11" fillId="0" borderId="33" xfId="0" applyNumberFormat="1" applyFont="1" applyFill="1" applyBorder="1" applyProtection="1">
      <protection locked="0"/>
    </xf>
    <xf numFmtId="0" fontId="3" fillId="0" borderId="14" xfId="0" applyFont="1" applyBorder="1" applyAlignment="1" applyProtection="1">
      <alignment horizontal="centerContinuous"/>
      <protection locked="0"/>
    </xf>
    <xf numFmtId="0" fontId="0" fillId="0" borderId="15" xfId="0" applyBorder="1" applyAlignment="1" applyProtection="1">
      <alignment horizontal="centerContinuous"/>
      <protection locked="0"/>
    </xf>
    <xf numFmtId="0" fontId="3" fillId="0" borderId="15" xfId="0" applyFont="1" applyBorder="1" applyAlignment="1" applyProtection="1">
      <alignment horizontal="centerContinuous"/>
      <protection locked="0"/>
    </xf>
    <xf numFmtId="0" fontId="3" fillId="0" borderId="16" xfId="0" applyFont="1" applyBorder="1" applyAlignment="1" applyProtection="1">
      <alignment horizontal="centerContinuous"/>
      <protection locked="0"/>
    </xf>
    <xf numFmtId="0" fontId="5" fillId="0" borderId="34" xfId="0" applyFont="1" applyBorder="1" applyAlignment="1" applyProtection="1">
      <alignment horizontal="left"/>
      <protection locked="0"/>
    </xf>
    <xf numFmtId="0" fontId="5" fillId="0" borderId="31" xfId="0" applyFont="1" applyBorder="1" applyAlignment="1" applyProtection="1">
      <alignment horizontal="left"/>
      <protection locked="0"/>
    </xf>
    <xf numFmtId="167" fontId="11" fillId="0" borderId="35" xfId="0" applyNumberFormat="1" applyFont="1" applyBorder="1" applyProtection="1">
      <protection locked="0"/>
    </xf>
    <xf numFmtId="0" fontId="18" fillId="0" borderId="0" xfId="0" applyFont="1" applyProtection="1">
      <protection locked="0"/>
    </xf>
    <xf numFmtId="0" fontId="3" fillId="0" borderId="0" xfId="0" applyFon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0" borderId="36" xfId="0" applyBorder="1" applyProtection="1">
      <protection locked="0"/>
    </xf>
    <xf numFmtId="165" fontId="11" fillId="0" borderId="37" xfId="0" applyNumberFormat="1" applyFont="1" applyBorder="1" applyAlignment="1" applyProtection="1">
      <alignment horizontal="center"/>
      <protection locked="0"/>
    </xf>
    <xf numFmtId="7" fontId="0" fillId="0" borderId="32" xfId="0" applyNumberFormat="1" applyBorder="1" applyProtection="1">
      <protection locked="0"/>
    </xf>
    <xf numFmtId="7" fontId="0" fillId="0" borderId="22" xfId="0" applyNumberFormat="1" applyBorder="1" applyProtection="1">
      <protection locked="0"/>
    </xf>
    <xf numFmtId="7" fontId="0" fillId="0" borderId="38" xfId="0" applyNumberFormat="1" applyBorder="1" applyProtection="1">
      <protection locked="0"/>
    </xf>
    <xf numFmtId="0" fontId="5" fillId="0" borderId="0" xfId="0" applyFont="1" applyBorder="1" applyAlignment="1" applyProtection="1">
      <alignment horizontal="left"/>
      <protection locked="0"/>
    </xf>
    <xf numFmtId="166" fontId="17" fillId="0" borderId="0" xfId="0" applyNumberFormat="1" applyFont="1" applyBorder="1" applyProtection="1">
      <protection locked="0"/>
    </xf>
    <xf numFmtId="7" fontId="0" fillId="0" borderId="39" xfId="0" applyNumberFormat="1" applyBorder="1" applyProtection="1">
      <protection locked="0"/>
    </xf>
    <xf numFmtId="7" fontId="0" fillId="0" borderId="0" xfId="0" applyNumberFormat="1" applyBorder="1" applyProtection="1">
      <protection locked="0"/>
    </xf>
    <xf numFmtId="7" fontId="0" fillId="0" borderId="40" xfId="0" applyNumberFormat="1" applyBorder="1" applyProtection="1">
      <protection locked="0"/>
    </xf>
    <xf numFmtId="8" fontId="0" fillId="0" borderId="0" xfId="0" applyNumberFormat="1" applyProtection="1">
      <protection locked="0"/>
    </xf>
    <xf numFmtId="0" fontId="3" fillId="0" borderId="22" xfId="0" applyFont="1" applyBorder="1" applyAlignment="1" applyProtection="1">
      <alignment horizontal="left"/>
      <protection locked="0"/>
    </xf>
    <xf numFmtId="0" fontId="3" fillId="0" borderId="22" xfId="0" applyFont="1" applyBorder="1" applyProtection="1">
      <protection locked="0"/>
    </xf>
    <xf numFmtId="166" fontId="11" fillId="0" borderId="0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right"/>
      <protection locked="0"/>
    </xf>
    <xf numFmtId="168" fontId="11" fillId="0" borderId="0" xfId="0" applyNumberFormat="1" applyFont="1" applyProtection="1">
      <protection locked="0"/>
    </xf>
    <xf numFmtId="7" fontId="0" fillId="0" borderId="41" xfId="0" applyNumberFormat="1" applyBorder="1" applyProtection="1">
      <protection locked="0"/>
    </xf>
    <xf numFmtId="7" fontId="0" fillId="0" borderId="42" xfId="0" applyNumberFormat="1" applyBorder="1" applyProtection="1">
      <protection locked="0"/>
    </xf>
    <xf numFmtId="7" fontId="0" fillId="0" borderId="43" xfId="0" applyNumberFormat="1" applyBorder="1" applyProtection="1">
      <protection locked="0"/>
    </xf>
    <xf numFmtId="0" fontId="5" fillId="8" borderId="44" xfId="0" applyFont="1" applyFill="1" applyBorder="1" applyProtection="1">
      <protection locked="0"/>
    </xf>
    <xf numFmtId="0" fontId="17" fillId="8" borderId="45" xfId="0" applyFont="1" applyFill="1" applyBorder="1" applyProtection="1">
      <protection locked="0"/>
    </xf>
    <xf numFmtId="0" fontId="20" fillId="8" borderId="45" xfId="0" applyFont="1" applyFill="1" applyBorder="1" applyAlignment="1" applyProtection="1">
      <alignment horizontal="right"/>
      <protection locked="0"/>
    </xf>
    <xf numFmtId="7" fontId="20" fillId="8" borderId="46" xfId="0" applyNumberFormat="1" applyFont="1" applyFill="1" applyBorder="1" applyProtection="1">
      <protection locked="0"/>
    </xf>
    <xf numFmtId="0" fontId="0" fillId="0" borderId="0" xfId="0" applyFill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0" fontId="5" fillId="0" borderId="21" xfId="0" applyFont="1" applyBorder="1" applyProtection="1">
      <protection locked="0"/>
    </xf>
    <xf numFmtId="164" fontId="11" fillId="0" borderId="21" xfId="0" applyNumberFormat="1" applyFont="1" applyBorder="1" applyProtection="1">
      <protection locked="0"/>
    </xf>
    <xf numFmtId="166" fontId="11" fillId="0" borderId="21" xfId="0" applyNumberFormat="1" applyFont="1" applyBorder="1" applyProtection="1">
      <protection locked="0"/>
    </xf>
    <xf numFmtId="166" fontId="5" fillId="0" borderId="33" xfId="0" applyNumberFormat="1" applyFont="1" applyBorder="1" applyProtection="1">
      <protection locked="0"/>
    </xf>
    <xf numFmtId="166" fontId="5" fillId="0" borderId="21" xfId="0" applyNumberFormat="1" applyFont="1" applyBorder="1" applyProtection="1">
      <protection locked="0"/>
    </xf>
    <xf numFmtId="165" fontId="5" fillId="0" borderId="21" xfId="0" applyNumberFormat="1" applyFont="1" applyFill="1" applyBorder="1" applyProtection="1">
      <protection locked="0"/>
    </xf>
    <xf numFmtId="164" fontId="5" fillId="0" borderId="21" xfId="0" applyNumberFormat="1" applyFont="1" applyBorder="1" applyProtection="1">
      <protection locked="0"/>
    </xf>
    <xf numFmtId="164" fontId="5" fillId="0" borderId="22" xfId="0" applyNumberFormat="1" applyFont="1" applyBorder="1" applyProtection="1">
      <protection locked="0"/>
    </xf>
    <xf numFmtId="0" fontId="0" fillId="3" borderId="9" xfId="0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0" fillId="0" borderId="0" xfId="0" applyProtection="1">
      <protection locked="0"/>
    </xf>
    <xf numFmtId="0" fontId="0" fillId="3" borderId="12" xfId="0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10" fillId="4" borderId="14" xfId="0" applyFont="1" applyFill="1" applyBorder="1" applyProtection="1">
      <protection locked="0"/>
    </xf>
    <xf numFmtId="0" fontId="11" fillId="4" borderId="15" xfId="0" applyFont="1" applyFill="1" applyBorder="1" applyProtection="1">
      <protection locked="0"/>
    </xf>
    <xf numFmtId="0" fontId="11" fillId="4" borderId="16" xfId="0" applyFont="1" applyFill="1" applyBorder="1" applyProtection="1">
      <protection locked="0"/>
    </xf>
    <xf numFmtId="0" fontId="0" fillId="3" borderId="17" xfId="0" applyFill="1" applyBorder="1" applyProtection="1">
      <protection locked="0"/>
    </xf>
    <xf numFmtId="0" fontId="1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3" fillId="0" borderId="0" xfId="0" applyFont="1" applyBorder="1" applyProtection="1">
      <protection locked="0"/>
    </xf>
    <xf numFmtId="0" fontId="3" fillId="0" borderId="0" xfId="0" applyFont="1" applyBorder="1" applyAlignment="1" applyProtection="1">
      <protection locked="0"/>
    </xf>
    <xf numFmtId="0" fontId="5" fillId="0" borderId="0" xfId="0" applyFont="1" applyBorder="1" applyProtection="1">
      <protection locked="0"/>
    </xf>
    <xf numFmtId="0" fontId="8" fillId="0" borderId="20" xfId="0" applyFont="1" applyBorder="1" applyProtection="1">
      <protection locked="0"/>
    </xf>
    <xf numFmtId="0" fontId="5" fillId="0" borderId="20" xfId="0" applyFont="1" applyBorder="1" applyAlignment="1" applyProtection="1">
      <protection locked="0"/>
    </xf>
    <xf numFmtId="0" fontId="3" fillId="0" borderId="20" xfId="0" applyFont="1" applyBorder="1" applyProtection="1">
      <protection locked="0"/>
    </xf>
    <xf numFmtId="0" fontId="5" fillId="0" borderId="20" xfId="0" applyFont="1" applyBorder="1" applyProtection="1">
      <protection locked="0"/>
    </xf>
    <xf numFmtId="0" fontId="15" fillId="0" borderId="0" xfId="0" applyFont="1" applyBorder="1" applyProtection="1">
      <protection locked="0"/>
    </xf>
    <xf numFmtId="0" fontId="8" fillId="0" borderId="0" xfId="0" applyFont="1" applyBorder="1" applyProtection="1">
      <protection locked="0"/>
    </xf>
    <xf numFmtId="0" fontId="5" fillId="0" borderId="0" xfId="0" applyFont="1" applyBorder="1" applyAlignment="1" applyProtection="1">
      <protection locked="0"/>
    </xf>
    <xf numFmtId="0" fontId="3" fillId="0" borderId="0" xfId="0" quotePrefix="1" applyFont="1" applyAlignment="1" applyProtection="1">
      <alignment horizontal="center"/>
      <protection locked="0"/>
    </xf>
    <xf numFmtId="0" fontId="3" fillId="0" borderId="14" xfId="0" applyFont="1" applyBorder="1" applyAlignment="1">
      <alignment horizontal="centerContinuous"/>
    </xf>
    <xf numFmtId="0" fontId="3" fillId="0" borderId="15" xfId="0" applyFont="1" applyBorder="1" applyAlignment="1">
      <alignment horizontal="centerContinuous"/>
    </xf>
    <xf numFmtId="0" fontId="3" fillId="0" borderId="16" xfId="0" applyFont="1" applyBorder="1" applyAlignment="1">
      <alignment horizontal="centerContinuous"/>
    </xf>
    <xf numFmtId="0" fontId="10" fillId="0" borderId="15" xfId="0" applyFont="1" applyBorder="1" applyAlignment="1">
      <alignment horizontal="centerContinuous"/>
    </xf>
    <xf numFmtId="0" fontId="10" fillId="0" borderId="16" xfId="0" applyFont="1" applyBorder="1" applyAlignment="1">
      <alignment horizontal="centerContinuous"/>
    </xf>
    <xf numFmtId="0" fontId="16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  <protection locked="0"/>
    </xf>
    <xf numFmtId="164" fontId="11" fillId="0" borderId="0" xfId="0" applyNumberFormat="1" applyFont="1" applyProtection="1">
      <protection locked="0"/>
    </xf>
    <xf numFmtId="164" fontId="5" fillId="0" borderId="0" xfId="0" applyNumberFormat="1" applyFont="1" applyBorder="1" applyProtection="1">
      <protection locked="0"/>
    </xf>
    <xf numFmtId="165" fontId="5" fillId="0" borderId="0" xfId="0" applyNumberFormat="1" applyFont="1" applyBorder="1" applyAlignment="1" applyProtection="1">
      <alignment horizontal="center"/>
      <protection locked="0"/>
    </xf>
    <xf numFmtId="166" fontId="11" fillId="0" borderId="0" xfId="0" applyNumberFormat="1" applyFont="1" applyProtection="1">
      <protection locked="0"/>
    </xf>
    <xf numFmtId="166" fontId="5" fillId="0" borderId="0" xfId="0" applyNumberFormat="1" applyFont="1" applyBorder="1" applyProtection="1">
      <protection locked="0"/>
    </xf>
    <xf numFmtId="166" fontId="5" fillId="0" borderId="22" xfId="0" applyNumberFormat="1" applyFont="1" applyBorder="1" applyProtection="1">
      <protection locked="0"/>
    </xf>
    <xf numFmtId="166" fontId="5" fillId="0" borderId="0" xfId="0" applyNumberFormat="1" applyFont="1" applyProtection="1">
      <protection locked="0"/>
    </xf>
    <xf numFmtId="165" fontId="5" fillId="0" borderId="0" xfId="0" applyNumberFormat="1" applyFont="1" applyBorder="1" applyProtection="1">
      <protection locked="0"/>
    </xf>
    <xf numFmtId="0" fontId="3" fillId="5" borderId="24" xfId="0" applyFont="1" applyFill="1" applyBorder="1" applyAlignment="1">
      <alignment horizontal="centerContinuous"/>
    </xf>
    <xf numFmtId="0" fontId="3" fillId="5" borderId="25" xfId="0" applyFont="1" applyFill="1" applyBorder="1" applyAlignment="1">
      <alignment horizontal="centerContinuous"/>
    </xf>
    <xf numFmtId="165" fontId="11" fillId="0" borderId="0" xfId="0" applyNumberFormat="1" applyFont="1" applyProtection="1">
      <protection locked="0"/>
    </xf>
    <xf numFmtId="0" fontId="3" fillId="5" borderId="23" xfId="0" applyFont="1" applyFill="1" applyBorder="1" applyAlignment="1">
      <alignment horizontal="centerContinuous"/>
    </xf>
    <xf numFmtId="0" fontId="5" fillId="6" borderId="26" xfId="0" applyFont="1" applyFill="1" applyBorder="1" applyAlignment="1">
      <alignment horizontal="left"/>
    </xf>
    <xf numFmtId="0" fontId="5" fillId="6" borderId="30" xfId="0" applyFont="1" applyFill="1" applyBorder="1" applyAlignment="1">
      <alignment horizontal="centerContinuous"/>
    </xf>
    <xf numFmtId="0" fontId="5" fillId="0" borderId="0" xfId="0" quotePrefix="1" applyFont="1" applyAlignment="1" applyProtection="1">
      <alignment horizontal="left"/>
      <protection locked="0"/>
    </xf>
    <xf numFmtId="0" fontId="11" fillId="0" borderId="0" xfId="0" applyFont="1" applyBorder="1" applyProtection="1">
      <protection locked="0"/>
    </xf>
    <xf numFmtId="0" fontId="3" fillId="0" borderId="0" xfId="0" applyFont="1" applyBorder="1" applyAlignment="1" applyProtection="1">
      <alignment horizontal="left"/>
      <protection locked="0"/>
    </xf>
    <xf numFmtId="164" fontId="3" fillId="0" borderId="0" xfId="0" applyNumberFormat="1" applyFont="1" applyProtection="1">
      <protection locked="0"/>
    </xf>
    <xf numFmtId="164" fontId="3" fillId="0" borderId="22" xfId="0" applyNumberFormat="1" applyFont="1" applyBorder="1" applyProtection="1">
      <protection locked="0"/>
    </xf>
    <xf numFmtId="164" fontId="3" fillId="0" borderId="0" xfId="0" applyNumberFormat="1" applyFont="1" applyBorder="1" applyProtection="1">
      <protection locked="0"/>
    </xf>
    <xf numFmtId="165" fontId="3" fillId="0" borderId="0" xfId="0" applyNumberFormat="1" applyFont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8" fillId="0" borderId="0" xfId="0" applyFont="1" applyBorder="1" applyAlignment="1" applyProtection="1">
      <alignment horizontal="left"/>
      <protection locked="0"/>
    </xf>
    <xf numFmtId="0" fontId="5" fillId="0" borderId="31" xfId="0" applyFont="1" applyBorder="1" applyProtection="1">
      <protection locked="0"/>
    </xf>
    <xf numFmtId="0" fontId="16" fillId="0" borderId="0" xfId="0" applyFont="1" applyAlignment="1" applyProtection="1">
      <protection locked="0"/>
    </xf>
    <xf numFmtId="0" fontId="16" fillId="0" borderId="0" xfId="0" applyFont="1" applyAlignment="1" applyProtection="1">
      <alignment horizontal="centerContinuous"/>
      <protection locked="0"/>
    </xf>
    <xf numFmtId="0" fontId="5" fillId="0" borderId="0" xfId="0" applyFont="1" applyFill="1" applyBorder="1" applyAlignment="1" applyProtection="1">
      <alignment horizontal="left"/>
      <protection locked="0"/>
    </xf>
    <xf numFmtId="165" fontId="5" fillId="0" borderId="0" xfId="0" applyNumberFormat="1" applyFont="1" applyFill="1" applyBorder="1" applyProtection="1">
      <protection locked="0"/>
    </xf>
    <xf numFmtId="165" fontId="11" fillId="0" borderId="0" xfId="0" applyNumberFormat="1" applyFont="1" applyFill="1" applyBorder="1" applyProtection="1">
      <protection locked="0"/>
    </xf>
    <xf numFmtId="0" fontId="5" fillId="0" borderId="0" xfId="0" applyFont="1" applyFill="1" applyAlignment="1" applyProtection="1">
      <alignment horizontal="left"/>
      <protection locked="0"/>
    </xf>
    <xf numFmtId="0" fontId="5" fillId="0" borderId="0" xfId="0" applyFont="1" applyFill="1" applyProtection="1">
      <protection locked="0"/>
    </xf>
    <xf numFmtId="164" fontId="5" fillId="0" borderId="0" xfId="0" applyNumberFormat="1" applyFont="1" applyProtection="1">
      <protection locked="0"/>
    </xf>
    <xf numFmtId="164" fontId="11" fillId="0" borderId="0" xfId="0" applyNumberFormat="1" applyFont="1" applyBorder="1" applyProtection="1">
      <protection locked="0"/>
    </xf>
    <xf numFmtId="164" fontId="17" fillId="0" borderId="0" xfId="0" applyNumberFormat="1" applyFont="1" applyProtection="1">
      <protection locked="0"/>
    </xf>
    <xf numFmtId="0" fontId="4" fillId="0" borderId="0" xfId="0" applyFont="1"/>
    <xf numFmtId="166" fontId="11" fillId="0" borderId="0" xfId="0" applyNumberFormat="1" applyFont="1" applyBorder="1" applyProtection="1">
      <protection locked="0"/>
    </xf>
    <xf numFmtId="166" fontId="17" fillId="0" borderId="0" xfId="0" applyNumberFormat="1" applyFont="1" applyProtection="1">
      <protection locked="0"/>
    </xf>
    <xf numFmtId="0" fontId="11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5" fillId="0" borderId="32" xfId="0" applyFont="1" applyBorder="1" applyAlignment="1" applyProtection="1">
      <alignment horizontal="left"/>
      <protection locked="0"/>
    </xf>
    <xf numFmtId="0" fontId="5" fillId="0" borderId="22" xfId="0" applyFont="1" applyBorder="1" applyAlignment="1" applyProtection="1">
      <alignment horizontal="left"/>
      <protection locked="0"/>
    </xf>
    <xf numFmtId="0" fontId="5" fillId="0" borderId="22" xfId="0" applyFont="1" applyBorder="1" applyProtection="1">
      <protection locked="0"/>
    </xf>
    <xf numFmtId="167" fontId="11" fillId="0" borderId="33" xfId="0" applyNumberFormat="1" applyFont="1" applyFill="1" applyBorder="1" applyProtection="1">
      <protection locked="0"/>
    </xf>
    <xf numFmtId="0" fontId="3" fillId="0" borderId="14" xfId="0" applyFont="1" applyBorder="1" applyAlignment="1" applyProtection="1">
      <alignment horizontal="centerContinuous"/>
      <protection locked="0"/>
    </xf>
    <xf numFmtId="0" fontId="0" fillId="0" borderId="15" xfId="0" applyBorder="1" applyAlignment="1" applyProtection="1">
      <alignment horizontal="centerContinuous"/>
      <protection locked="0"/>
    </xf>
    <xf numFmtId="0" fontId="3" fillId="0" borderId="15" xfId="0" applyFont="1" applyBorder="1" applyAlignment="1" applyProtection="1">
      <alignment horizontal="centerContinuous"/>
      <protection locked="0"/>
    </xf>
    <xf numFmtId="0" fontId="3" fillId="0" borderId="16" xfId="0" applyFont="1" applyBorder="1" applyAlignment="1" applyProtection="1">
      <alignment horizontal="centerContinuous"/>
      <protection locked="0"/>
    </xf>
    <xf numFmtId="0" fontId="5" fillId="0" borderId="34" xfId="0" applyFont="1" applyBorder="1" applyAlignment="1" applyProtection="1">
      <alignment horizontal="left"/>
      <protection locked="0"/>
    </xf>
    <xf numFmtId="0" fontId="5" fillId="0" borderId="31" xfId="0" applyFont="1" applyBorder="1" applyAlignment="1" applyProtection="1">
      <alignment horizontal="left"/>
      <protection locked="0"/>
    </xf>
    <xf numFmtId="167" fontId="11" fillId="0" borderId="35" xfId="0" applyNumberFormat="1" applyFont="1" applyBorder="1" applyProtection="1">
      <protection locked="0"/>
    </xf>
    <xf numFmtId="0" fontId="18" fillId="0" borderId="0" xfId="0" applyFont="1" applyProtection="1">
      <protection locked="0"/>
    </xf>
    <xf numFmtId="0" fontId="3" fillId="0" borderId="0" xfId="0" applyFon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0" borderId="36" xfId="0" applyBorder="1" applyProtection="1">
      <protection locked="0"/>
    </xf>
    <xf numFmtId="7" fontId="19" fillId="0" borderId="0" xfId="0" applyNumberFormat="1" applyFont="1" applyProtection="1">
      <protection locked="0"/>
    </xf>
    <xf numFmtId="165" fontId="11" fillId="0" borderId="0" xfId="0" applyNumberFormat="1" applyFont="1" applyBorder="1" applyProtection="1">
      <protection locked="0"/>
    </xf>
    <xf numFmtId="165" fontId="5" fillId="0" borderId="0" xfId="0" applyNumberFormat="1" applyFont="1" applyProtection="1">
      <protection locked="0"/>
    </xf>
    <xf numFmtId="165" fontId="11" fillId="0" borderId="37" xfId="0" applyNumberFormat="1" applyFont="1" applyBorder="1" applyAlignment="1" applyProtection="1">
      <alignment horizontal="center"/>
      <protection locked="0"/>
    </xf>
    <xf numFmtId="7" fontId="0" fillId="0" borderId="32" xfId="0" applyNumberFormat="1" applyBorder="1" applyProtection="1">
      <protection locked="0"/>
    </xf>
    <xf numFmtId="7" fontId="0" fillId="0" borderId="22" xfId="0" applyNumberFormat="1" applyBorder="1" applyProtection="1">
      <protection locked="0"/>
    </xf>
    <xf numFmtId="7" fontId="0" fillId="0" borderId="38" xfId="0" applyNumberFormat="1" applyBorder="1" applyProtection="1">
      <protection locked="0"/>
    </xf>
    <xf numFmtId="0" fontId="5" fillId="0" borderId="0" xfId="0" applyFont="1" applyBorder="1" applyAlignment="1" applyProtection="1">
      <alignment horizontal="left"/>
      <protection locked="0"/>
    </xf>
    <xf numFmtId="166" fontId="17" fillId="0" borderId="0" xfId="0" applyNumberFormat="1" applyFont="1" applyBorder="1" applyProtection="1">
      <protection locked="0"/>
    </xf>
    <xf numFmtId="7" fontId="0" fillId="0" borderId="39" xfId="0" applyNumberFormat="1" applyBorder="1" applyProtection="1">
      <protection locked="0"/>
    </xf>
    <xf numFmtId="7" fontId="0" fillId="0" borderId="0" xfId="0" applyNumberFormat="1" applyBorder="1" applyProtection="1">
      <protection locked="0"/>
    </xf>
    <xf numFmtId="7" fontId="0" fillId="0" borderId="40" xfId="0" applyNumberFormat="1" applyBorder="1" applyProtection="1">
      <protection locked="0"/>
    </xf>
    <xf numFmtId="8" fontId="0" fillId="0" borderId="0" xfId="0" applyNumberFormat="1" applyProtection="1">
      <protection locked="0"/>
    </xf>
    <xf numFmtId="0" fontId="0" fillId="6" borderId="0" xfId="0" applyFill="1" applyBorder="1" applyProtection="1">
      <protection hidden="1"/>
    </xf>
    <xf numFmtId="0" fontId="3" fillId="0" borderId="22" xfId="0" applyFont="1" applyBorder="1" applyAlignment="1" applyProtection="1">
      <alignment horizontal="left"/>
      <protection locked="0"/>
    </xf>
    <xf numFmtId="0" fontId="3" fillId="0" borderId="22" xfId="0" applyFont="1" applyBorder="1" applyProtection="1">
      <protection locked="0"/>
    </xf>
    <xf numFmtId="166" fontId="11" fillId="0" borderId="0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right"/>
      <protection locked="0"/>
    </xf>
    <xf numFmtId="168" fontId="11" fillId="0" borderId="0" xfId="0" applyNumberFormat="1" applyFont="1" applyProtection="1">
      <protection locked="0"/>
    </xf>
    <xf numFmtId="7" fontId="0" fillId="0" borderId="41" xfId="0" applyNumberFormat="1" applyBorder="1" applyProtection="1">
      <protection locked="0"/>
    </xf>
    <xf numFmtId="7" fontId="0" fillId="0" borderId="42" xfId="0" applyNumberFormat="1" applyBorder="1" applyProtection="1">
      <protection locked="0"/>
    </xf>
    <xf numFmtId="7" fontId="0" fillId="0" borderId="43" xfId="0" applyNumberFormat="1" applyBorder="1" applyProtection="1">
      <protection locked="0"/>
    </xf>
    <xf numFmtId="0" fontId="5" fillId="8" borderId="44" xfId="0" applyFont="1" applyFill="1" applyBorder="1" applyProtection="1">
      <protection locked="0"/>
    </xf>
    <xf numFmtId="0" fontId="17" fillId="8" borderId="45" xfId="0" applyFont="1" applyFill="1" applyBorder="1" applyProtection="1">
      <protection locked="0"/>
    </xf>
    <xf numFmtId="0" fontId="20" fillId="8" borderId="45" xfId="0" applyFont="1" applyFill="1" applyBorder="1" applyAlignment="1" applyProtection="1">
      <alignment horizontal="right"/>
      <protection locked="0"/>
    </xf>
    <xf numFmtId="7" fontId="20" fillId="8" borderId="46" xfId="0" applyNumberFormat="1" applyFont="1" applyFill="1" applyBorder="1" applyProtection="1">
      <protection locked="0"/>
    </xf>
    <xf numFmtId="0" fontId="0" fillId="0" borderId="0" xfId="0" applyFill="1" applyProtection="1">
      <protection locked="0"/>
    </xf>
    <xf numFmtId="0" fontId="5" fillId="6" borderId="28" xfId="0" applyFont="1" applyFill="1" applyBorder="1" applyAlignment="1">
      <alignment horizontal="right"/>
    </xf>
    <xf numFmtId="0" fontId="5" fillId="6" borderId="48" xfId="0" applyFont="1" applyFill="1" applyBorder="1" applyAlignment="1">
      <alignment horizontal="right"/>
    </xf>
    <xf numFmtId="0" fontId="5" fillId="6" borderId="49" xfId="0" applyFont="1" applyFill="1" applyBorder="1" applyAlignment="1">
      <alignment horizontal="centerContinuous"/>
    </xf>
    <xf numFmtId="0" fontId="5" fillId="6" borderId="47" xfId="0" applyFont="1" applyFill="1" applyBorder="1" applyAlignment="1">
      <alignment horizontal="centerContinuous"/>
    </xf>
    <xf numFmtId="0" fontId="5" fillId="6" borderId="50" xfId="0" applyFont="1" applyFill="1" applyBorder="1" applyAlignment="1">
      <alignment horizontal="centerContinuous"/>
    </xf>
    <xf numFmtId="0" fontId="3" fillId="6" borderId="0" xfId="0" applyFont="1" applyFill="1" applyBorder="1" applyAlignment="1">
      <alignment horizontal="centerContinuous"/>
    </xf>
    <xf numFmtId="0" fontId="3" fillId="6" borderId="27" xfId="0" applyFont="1" applyFill="1" applyBorder="1" applyAlignment="1">
      <alignment horizontal="centerContinuous"/>
    </xf>
    <xf numFmtId="0" fontId="0" fillId="3" borderId="9" xfId="0" applyFill="1" applyBorder="1" applyProtection="1"/>
    <xf numFmtId="0" fontId="0" fillId="3" borderId="10" xfId="0" applyFill="1" applyBorder="1" applyProtection="1"/>
    <xf numFmtId="0" fontId="1" fillId="3" borderId="11" xfId="0" applyFont="1" applyFill="1" applyBorder="1" applyAlignment="1" applyProtection="1">
      <alignment horizontal="right"/>
    </xf>
    <xf numFmtId="0" fontId="0" fillId="0" borderId="0" xfId="0" applyProtection="1"/>
    <xf numFmtId="0" fontId="0" fillId="3" borderId="12" xfId="0" applyFill="1" applyBorder="1" applyProtection="1"/>
    <xf numFmtId="0" fontId="9" fillId="3" borderId="0" xfId="0" applyFont="1" applyFill="1" applyBorder="1" applyProtection="1"/>
    <xf numFmtId="0" fontId="0" fillId="3" borderId="0" xfId="0" applyFill="1" applyBorder="1" applyProtection="1"/>
    <xf numFmtId="0" fontId="1" fillId="3" borderId="13" xfId="0" applyFont="1" applyFill="1" applyBorder="1" applyAlignment="1" applyProtection="1">
      <alignment horizontal="right"/>
    </xf>
    <xf numFmtId="0" fontId="10" fillId="4" borderId="14" xfId="0" applyFont="1" applyFill="1" applyBorder="1" applyProtection="1"/>
    <xf numFmtId="0" fontId="11" fillId="4" borderId="15" xfId="0" applyFont="1" applyFill="1" applyBorder="1" applyProtection="1"/>
    <xf numFmtId="0" fontId="11" fillId="4" borderId="16" xfId="0" applyFont="1" applyFill="1" applyBorder="1" applyProtection="1"/>
    <xf numFmtId="0" fontId="12" fillId="3" borderId="0" xfId="0" applyFont="1" applyFill="1" applyBorder="1" applyProtection="1"/>
    <xf numFmtId="0" fontId="0" fillId="3" borderId="17" xfId="0" applyFill="1" applyBorder="1" applyProtection="1"/>
    <xf numFmtId="0" fontId="0" fillId="3" borderId="18" xfId="0" applyFill="1" applyBorder="1" applyProtection="1"/>
    <xf numFmtId="0" fontId="1" fillId="3" borderId="19" xfId="0" applyFont="1" applyFill="1" applyBorder="1" applyAlignment="1" applyProtection="1">
      <alignment horizontal="right"/>
    </xf>
    <xf numFmtId="0" fontId="1" fillId="0" borderId="0" xfId="0" applyFont="1" applyProtection="1"/>
    <xf numFmtId="0" fontId="5" fillId="0" borderId="0" xfId="0" applyFont="1" applyProtection="1"/>
    <xf numFmtId="0" fontId="13" fillId="0" borderId="0" xfId="0" applyFont="1" applyBorder="1" applyProtection="1"/>
    <xf numFmtId="0" fontId="3" fillId="0" borderId="0" xfId="0" applyFont="1" applyBorder="1" applyProtection="1"/>
    <xf numFmtId="0" fontId="3" fillId="0" borderId="0" xfId="0" applyFont="1" applyBorder="1" applyAlignment="1" applyProtection="1"/>
    <xf numFmtId="0" fontId="5" fillId="0" borderId="0" xfId="0" applyFont="1" applyBorder="1" applyProtection="1"/>
    <xf numFmtId="0" fontId="14" fillId="0" borderId="20" xfId="0" applyFont="1" applyBorder="1" applyProtection="1"/>
    <xf numFmtId="0" fontId="8" fillId="0" borderId="20" xfId="0" applyFont="1" applyBorder="1" applyProtection="1"/>
    <xf numFmtId="0" fontId="5" fillId="0" borderId="20" xfId="0" applyFont="1" applyBorder="1" applyAlignment="1" applyProtection="1"/>
    <xf numFmtId="0" fontId="3" fillId="0" borderId="20" xfId="0" applyFont="1" applyBorder="1" applyProtection="1"/>
    <xf numFmtId="0" fontId="5" fillId="0" borderId="20" xfId="0" applyFont="1" applyBorder="1" applyProtection="1"/>
    <xf numFmtId="0" fontId="15" fillId="0" borderId="0" xfId="0" applyFont="1" applyBorder="1" applyProtection="1"/>
    <xf numFmtId="0" fontId="8" fillId="0" borderId="0" xfId="0" applyFont="1" applyBorder="1" applyProtection="1"/>
    <xf numFmtId="0" fontId="5" fillId="0" borderId="0" xfId="0" applyFont="1" applyBorder="1" applyAlignment="1" applyProtection="1"/>
    <xf numFmtId="0" fontId="3" fillId="0" borderId="0" xfId="0" quotePrefix="1" applyFont="1" applyAlignment="1" applyProtection="1">
      <alignment horizontal="center"/>
    </xf>
    <xf numFmtId="0" fontId="3" fillId="0" borderId="14" xfId="0" applyFont="1" applyBorder="1" applyAlignment="1" applyProtection="1">
      <alignment horizontal="centerContinuous"/>
    </xf>
    <xf numFmtId="0" fontId="3" fillId="0" borderId="15" xfId="0" applyFont="1" applyBorder="1" applyAlignment="1" applyProtection="1">
      <alignment horizontal="centerContinuous"/>
    </xf>
    <xf numFmtId="0" fontId="3" fillId="0" borderId="16" xfId="0" applyFont="1" applyBorder="1" applyAlignment="1" applyProtection="1">
      <alignment horizontal="centerContinuous"/>
    </xf>
    <xf numFmtId="0" fontId="10" fillId="0" borderId="15" xfId="0" applyFont="1" applyBorder="1" applyAlignment="1" applyProtection="1">
      <alignment horizontal="centerContinuous"/>
    </xf>
    <xf numFmtId="0" fontId="10" fillId="0" borderId="16" xfId="0" applyFont="1" applyBorder="1" applyAlignment="1" applyProtection="1">
      <alignment horizontal="centerContinuous"/>
    </xf>
    <xf numFmtId="0" fontId="16" fillId="0" borderId="0" xfId="0" applyFont="1" applyAlignment="1" applyProtection="1">
      <alignment horizontal="center"/>
    </xf>
    <xf numFmtId="0" fontId="5" fillId="0" borderId="21" xfId="0" applyFont="1" applyBorder="1" applyProtection="1"/>
    <xf numFmtId="0" fontId="5" fillId="0" borderId="0" xfId="0" applyFont="1" applyAlignment="1" applyProtection="1">
      <alignment horizontal="left"/>
    </xf>
    <xf numFmtId="164" fontId="11" fillId="0" borderId="0" xfId="0" applyNumberFormat="1" applyFont="1" applyProtection="1"/>
    <xf numFmtId="164" fontId="11" fillId="0" borderId="21" xfId="0" applyNumberFormat="1" applyFont="1" applyBorder="1" applyProtection="1"/>
    <xf numFmtId="164" fontId="5" fillId="0" borderId="0" xfId="0" applyNumberFormat="1" applyFont="1" applyBorder="1" applyProtection="1"/>
    <xf numFmtId="165" fontId="5" fillId="0" borderId="0" xfId="0" applyNumberFormat="1" applyFont="1" applyFill="1" applyBorder="1" applyProtection="1"/>
    <xf numFmtId="166" fontId="11" fillId="0" borderId="0" xfId="0" applyNumberFormat="1" applyFont="1" applyProtection="1"/>
    <xf numFmtId="166" fontId="11" fillId="0" borderId="21" xfId="0" applyNumberFormat="1" applyFont="1" applyBorder="1" applyProtection="1"/>
    <xf numFmtId="166" fontId="5" fillId="0" borderId="0" xfId="0" applyNumberFormat="1" applyFont="1" applyBorder="1" applyProtection="1"/>
    <xf numFmtId="165" fontId="5" fillId="0" borderId="0" xfId="0" applyNumberFormat="1" applyFont="1" applyBorder="1" applyAlignment="1" applyProtection="1">
      <alignment horizontal="center"/>
    </xf>
    <xf numFmtId="166" fontId="5" fillId="0" borderId="22" xfId="0" applyNumberFormat="1" applyFont="1" applyBorder="1" applyProtection="1"/>
    <xf numFmtId="166" fontId="5" fillId="0" borderId="33" xfId="0" applyNumberFormat="1" applyFont="1" applyBorder="1" applyProtection="1"/>
    <xf numFmtId="166" fontId="5" fillId="0" borderId="0" xfId="0" applyNumberFormat="1" applyFont="1" applyProtection="1"/>
    <xf numFmtId="166" fontId="5" fillId="0" borderId="21" xfId="0" applyNumberFormat="1" applyFont="1" applyBorder="1" applyProtection="1"/>
    <xf numFmtId="165" fontId="5" fillId="0" borderId="0" xfId="0" applyNumberFormat="1" applyFont="1" applyBorder="1" applyProtection="1"/>
    <xf numFmtId="165" fontId="11" fillId="0" borderId="0" xfId="0" applyNumberFormat="1" applyFont="1" applyProtection="1"/>
    <xf numFmtId="0" fontId="5" fillId="0" borderId="0" xfId="0" quotePrefix="1" applyFont="1" applyAlignment="1" applyProtection="1">
      <alignment horizontal="left"/>
    </xf>
    <xf numFmtId="0" fontId="11" fillId="0" borderId="0" xfId="0" applyFont="1" applyBorder="1" applyProtection="1"/>
    <xf numFmtId="0" fontId="3" fillId="0" borderId="0" xfId="0" applyFont="1" applyBorder="1" applyAlignment="1" applyProtection="1">
      <alignment horizontal="left"/>
    </xf>
    <xf numFmtId="164" fontId="3" fillId="0" borderId="0" xfId="0" applyNumberFormat="1" applyFont="1" applyProtection="1"/>
    <xf numFmtId="164" fontId="3" fillId="0" borderId="22" xfId="0" applyNumberFormat="1" applyFont="1" applyBorder="1" applyProtection="1"/>
    <xf numFmtId="164" fontId="3" fillId="0" borderId="33" xfId="0" applyNumberFormat="1" applyFont="1" applyBorder="1" applyProtection="1"/>
    <xf numFmtId="165" fontId="3" fillId="0" borderId="0" xfId="0" applyNumberFormat="1" applyFont="1" applyFill="1" applyBorder="1" applyProtection="1"/>
    <xf numFmtId="0" fontId="3" fillId="0" borderId="0" xfId="0" applyFont="1" applyProtection="1"/>
    <xf numFmtId="164" fontId="3" fillId="0" borderId="0" xfId="0" applyNumberFormat="1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left"/>
    </xf>
    <xf numFmtId="0" fontId="5" fillId="0" borderId="31" xfId="0" applyFont="1" applyBorder="1" applyProtection="1"/>
    <xf numFmtId="0" fontId="16" fillId="0" borderId="0" xfId="0" applyFont="1" applyAlignment="1" applyProtection="1"/>
    <xf numFmtId="0" fontId="16" fillId="0" borderId="0" xfId="0" applyFont="1" applyAlignment="1" applyProtection="1">
      <alignment horizontal="centerContinuous"/>
    </xf>
    <xf numFmtId="0" fontId="3" fillId="5" borderId="23" xfId="0" applyFont="1" applyFill="1" applyBorder="1" applyAlignment="1" applyProtection="1">
      <alignment horizontal="centerContinuous"/>
    </xf>
    <xf numFmtId="0" fontId="3" fillId="5" borderId="24" xfId="0" applyFont="1" applyFill="1" applyBorder="1" applyAlignment="1" applyProtection="1">
      <alignment horizontal="centerContinuous"/>
    </xf>
    <xf numFmtId="0" fontId="3" fillId="5" borderId="25" xfId="0" applyFont="1" applyFill="1" applyBorder="1" applyAlignment="1" applyProtection="1">
      <alignment horizontal="centerContinuous"/>
    </xf>
    <xf numFmtId="0" fontId="5" fillId="0" borderId="0" xfId="0" applyFont="1" applyFill="1" applyBorder="1" applyAlignment="1" applyProtection="1">
      <alignment horizontal="left"/>
    </xf>
    <xf numFmtId="165" fontId="5" fillId="0" borderId="21" xfId="0" applyNumberFormat="1" applyFont="1" applyFill="1" applyBorder="1" applyProtection="1"/>
    <xf numFmtId="165" fontId="11" fillId="0" borderId="0" xfId="0" applyNumberFormat="1" applyFont="1" applyFill="1" applyBorder="1" applyProtection="1"/>
    <xf numFmtId="0" fontId="5" fillId="6" borderId="26" xfId="0" applyFont="1" applyFill="1" applyBorder="1" applyAlignment="1" applyProtection="1">
      <alignment horizontal="left"/>
    </xf>
    <xf numFmtId="0" fontId="3" fillId="6" borderId="0" xfId="0" applyFont="1" applyFill="1" applyBorder="1" applyAlignment="1" applyProtection="1">
      <alignment horizontal="centerContinuous"/>
    </xf>
    <xf numFmtId="0" fontId="3" fillId="6" borderId="27" xfId="0" applyFont="1" applyFill="1" applyBorder="1" applyAlignment="1" applyProtection="1">
      <alignment horizontal="centerContinuous"/>
    </xf>
    <xf numFmtId="0" fontId="5" fillId="6" borderId="48" xfId="0" applyFont="1" applyFill="1" applyBorder="1" applyAlignment="1" applyProtection="1">
      <alignment horizontal="right"/>
    </xf>
    <xf numFmtId="0" fontId="5" fillId="6" borderId="47" xfId="0" applyFont="1" applyFill="1" applyBorder="1" applyAlignment="1" applyProtection="1">
      <alignment horizontal="centerContinuous"/>
    </xf>
    <xf numFmtId="0" fontId="5" fillId="6" borderId="49" xfId="0" applyFont="1" applyFill="1" applyBorder="1" applyAlignment="1" applyProtection="1">
      <alignment horizontal="centerContinuous"/>
    </xf>
    <xf numFmtId="0" fontId="5" fillId="6" borderId="28" xfId="0" applyFont="1" applyFill="1" applyBorder="1" applyAlignment="1" applyProtection="1">
      <alignment horizontal="right"/>
    </xf>
    <xf numFmtId="0" fontId="5" fillId="6" borderId="50" xfId="0" applyFont="1" applyFill="1" applyBorder="1" applyAlignment="1" applyProtection="1">
      <alignment horizontal="centerContinuous"/>
    </xf>
    <xf numFmtId="0" fontId="5" fillId="6" borderId="30" xfId="0" applyFont="1" applyFill="1" applyBorder="1" applyAlignment="1" applyProtection="1">
      <alignment horizontal="centerContinuous"/>
    </xf>
    <xf numFmtId="0" fontId="5" fillId="0" borderId="0" xfId="0" applyFont="1" applyFill="1" applyAlignment="1" applyProtection="1">
      <alignment horizontal="left"/>
    </xf>
    <xf numFmtId="0" fontId="5" fillId="0" borderId="0" xfId="0" applyFont="1" applyFill="1" applyProtection="1"/>
    <xf numFmtId="164" fontId="5" fillId="0" borderId="0" xfId="0" applyNumberFormat="1" applyFont="1" applyProtection="1"/>
    <xf numFmtId="164" fontId="5" fillId="0" borderId="21" xfId="0" applyNumberFormat="1" applyFont="1" applyBorder="1" applyProtection="1"/>
    <xf numFmtId="164" fontId="11" fillId="0" borderId="0" xfId="0" applyNumberFormat="1" applyFont="1" applyBorder="1" applyProtection="1"/>
    <xf numFmtId="164" fontId="17" fillId="0" borderId="0" xfId="0" applyNumberFormat="1" applyFont="1" applyProtection="1"/>
    <xf numFmtId="0" fontId="4" fillId="0" borderId="0" xfId="0" applyFont="1" applyProtection="1"/>
    <xf numFmtId="166" fontId="11" fillId="0" borderId="0" xfId="0" applyNumberFormat="1" applyFont="1" applyBorder="1" applyProtection="1"/>
    <xf numFmtId="166" fontId="5" fillId="0" borderId="0" xfId="0" applyNumberFormat="1" applyFont="1" applyFill="1" applyBorder="1" applyProtection="1"/>
    <xf numFmtId="0" fontId="11" fillId="0" borderId="0" xfId="0" applyFont="1" applyProtection="1"/>
    <xf numFmtId="0" fontId="17" fillId="0" borderId="0" xfId="0" applyFont="1" applyProtection="1"/>
    <xf numFmtId="0" fontId="5" fillId="0" borderId="32" xfId="0" applyFont="1" applyBorder="1" applyAlignment="1" applyProtection="1">
      <alignment horizontal="left"/>
    </xf>
    <xf numFmtId="0" fontId="5" fillId="0" borderId="22" xfId="0" applyFont="1" applyBorder="1" applyAlignment="1" applyProtection="1">
      <alignment horizontal="left"/>
    </xf>
    <xf numFmtId="0" fontId="5" fillId="0" borderId="22" xfId="0" applyFont="1" applyBorder="1" applyProtection="1"/>
    <xf numFmtId="167" fontId="11" fillId="0" borderId="33" xfId="0" applyNumberFormat="1" applyFont="1" applyFill="1" applyBorder="1" applyProtection="1"/>
    <xf numFmtId="0" fontId="0" fillId="0" borderId="15" xfId="0" applyBorder="1" applyAlignment="1" applyProtection="1">
      <alignment horizontal="centerContinuous"/>
    </xf>
    <xf numFmtId="0" fontId="5" fillId="0" borderId="34" xfId="0" applyFont="1" applyBorder="1" applyAlignment="1" applyProtection="1">
      <alignment horizontal="left"/>
    </xf>
    <xf numFmtId="0" fontId="5" fillId="0" borderId="31" xfId="0" applyFont="1" applyBorder="1" applyAlignment="1" applyProtection="1">
      <alignment horizontal="left"/>
    </xf>
    <xf numFmtId="167" fontId="11" fillId="0" borderId="35" xfId="0" applyNumberFormat="1" applyFont="1" applyBorder="1" applyProtection="1"/>
    <xf numFmtId="0" fontId="18" fillId="0" borderId="0" xfId="0" applyFont="1" applyProtection="1"/>
    <xf numFmtId="0" fontId="3" fillId="0" borderId="0" xfId="0" applyFont="1" applyAlignment="1" applyProtection="1">
      <alignment horizontal="centerContinuous"/>
    </xf>
    <xf numFmtId="0" fontId="0" fillId="0" borderId="0" xfId="0" applyAlignment="1" applyProtection="1">
      <alignment horizontal="centerContinuous"/>
    </xf>
    <xf numFmtId="0" fontId="0" fillId="0" borderId="36" xfId="0" applyBorder="1" applyAlignment="1" applyProtection="1">
      <alignment horizontal="center"/>
    </xf>
    <xf numFmtId="0" fontId="0" fillId="0" borderId="36" xfId="0" applyBorder="1" applyProtection="1"/>
    <xf numFmtId="7" fontId="19" fillId="0" borderId="0" xfId="0" applyNumberFormat="1" applyFont="1" applyProtection="1"/>
    <xf numFmtId="165" fontId="11" fillId="0" borderId="0" xfId="0" applyNumberFormat="1" applyFont="1" applyBorder="1" applyProtection="1"/>
    <xf numFmtId="165" fontId="5" fillId="0" borderId="0" xfId="0" applyNumberFormat="1" applyFont="1" applyProtection="1"/>
    <xf numFmtId="165" fontId="11" fillId="0" borderId="37" xfId="0" applyNumberFormat="1" applyFont="1" applyBorder="1" applyAlignment="1" applyProtection="1">
      <alignment horizontal="center"/>
    </xf>
    <xf numFmtId="7" fontId="0" fillId="0" borderId="32" xfId="0" applyNumberFormat="1" applyBorder="1" applyProtection="1"/>
    <xf numFmtId="7" fontId="0" fillId="0" borderId="22" xfId="0" applyNumberFormat="1" applyBorder="1" applyProtection="1"/>
    <xf numFmtId="7" fontId="0" fillId="0" borderId="38" xfId="0" applyNumberFormat="1" applyBorder="1" applyProtection="1"/>
    <xf numFmtId="0" fontId="5" fillId="0" borderId="0" xfId="0" applyFont="1" applyBorder="1" applyAlignment="1" applyProtection="1">
      <alignment horizontal="left"/>
    </xf>
    <xf numFmtId="166" fontId="17" fillId="0" borderId="0" xfId="0" applyNumberFormat="1" applyFont="1" applyBorder="1" applyProtection="1"/>
    <xf numFmtId="7" fontId="0" fillId="0" borderId="39" xfId="0" applyNumberFormat="1" applyBorder="1" applyProtection="1"/>
    <xf numFmtId="7" fontId="0" fillId="0" borderId="0" xfId="0" applyNumberFormat="1" applyBorder="1" applyProtection="1"/>
    <xf numFmtId="7" fontId="0" fillId="0" borderId="40" xfId="0" applyNumberFormat="1" applyBorder="1" applyProtection="1"/>
    <xf numFmtId="8" fontId="0" fillId="0" borderId="0" xfId="0" applyNumberFormat="1" applyProtection="1"/>
    <xf numFmtId="0" fontId="3" fillId="0" borderId="22" xfId="0" applyFont="1" applyBorder="1" applyAlignment="1" applyProtection="1">
      <alignment horizontal="left"/>
    </xf>
    <xf numFmtId="0" fontId="3" fillId="0" borderId="22" xfId="0" applyFont="1" applyBorder="1" applyProtection="1"/>
    <xf numFmtId="164" fontId="5" fillId="0" borderId="22" xfId="0" applyNumberFormat="1" applyFont="1" applyBorder="1" applyProtection="1"/>
    <xf numFmtId="166" fontId="11" fillId="0" borderId="0" xfId="0" applyNumberFormat="1" applyFont="1" applyFill="1" applyBorder="1" applyProtection="1"/>
    <xf numFmtId="0" fontId="3" fillId="0" borderId="0" xfId="0" applyFont="1" applyAlignment="1" applyProtection="1">
      <alignment horizontal="right"/>
    </xf>
    <xf numFmtId="0" fontId="5" fillId="0" borderId="0" xfId="0" applyFont="1" applyAlignment="1" applyProtection="1">
      <alignment horizontal="right"/>
    </xf>
    <xf numFmtId="168" fontId="11" fillId="0" borderId="0" xfId="0" applyNumberFormat="1" applyFont="1" applyProtection="1"/>
    <xf numFmtId="7" fontId="0" fillId="0" borderId="41" xfId="0" applyNumberFormat="1" applyBorder="1" applyProtection="1"/>
    <xf numFmtId="7" fontId="0" fillId="0" borderId="42" xfId="0" applyNumberFormat="1" applyBorder="1" applyProtection="1"/>
    <xf numFmtId="7" fontId="0" fillId="0" borderId="43" xfId="0" applyNumberFormat="1" applyBorder="1" applyProtection="1"/>
    <xf numFmtId="0" fontId="5" fillId="8" borderId="44" xfId="0" applyFont="1" applyFill="1" applyBorder="1" applyProtection="1"/>
    <xf numFmtId="0" fontId="17" fillId="8" borderId="45" xfId="0" applyFont="1" applyFill="1" applyBorder="1" applyProtection="1"/>
    <xf numFmtId="0" fontId="20" fillId="8" borderId="45" xfId="0" applyFont="1" applyFill="1" applyBorder="1" applyAlignment="1" applyProtection="1">
      <alignment horizontal="right"/>
    </xf>
    <xf numFmtId="7" fontId="20" fillId="8" borderId="46" xfId="0" applyNumberFormat="1" applyFont="1" applyFill="1" applyBorder="1" applyProtection="1"/>
    <xf numFmtId="0" fontId="1" fillId="0" borderId="0" xfId="1">
      <protection locked="0"/>
    </xf>
    <xf numFmtId="0" fontId="0" fillId="6" borderId="51" xfId="0" applyFill="1" applyBorder="1" applyAlignment="1" applyProtection="1">
      <alignment horizontal="left" indent="1"/>
      <protection locked="0"/>
    </xf>
    <xf numFmtId="0" fontId="5" fillId="6" borderId="0" xfId="0" applyFont="1" applyFill="1" applyBorder="1" applyProtection="1">
      <protection locked="0"/>
    </xf>
    <xf numFmtId="0" fontId="13" fillId="5" borderId="52" xfId="0" applyFont="1" applyFill="1" applyBorder="1" applyAlignment="1" applyProtection="1">
      <alignment horizontal="centerContinuous"/>
      <protection locked="0"/>
    </xf>
    <xf numFmtId="0" fontId="13" fillId="5" borderId="53" xfId="0" applyFont="1" applyFill="1" applyBorder="1" applyAlignment="1" applyProtection="1">
      <alignment horizontal="centerContinuous"/>
      <protection locked="0"/>
    </xf>
    <xf numFmtId="0" fontId="13" fillId="5" borderId="54" xfId="0" applyFont="1" applyFill="1" applyBorder="1" applyAlignment="1" applyProtection="1">
      <alignment horizontal="centerContinuous"/>
      <protection locked="0"/>
    </xf>
    <xf numFmtId="0" fontId="5" fillId="6" borderId="55" xfId="0" applyFont="1" applyFill="1" applyBorder="1" applyProtection="1">
      <protection locked="0"/>
    </xf>
    <xf numFmtId="0" fontId="3" fillId="6" borderId="0" xfId="0" applyFont="1" applyFill="1" applyBorder="1" applyProtection="1">
      <protection locked="0"/>
    </xf>
    <xf numFmtId="0" fontId="3" fillId="6" borderId="55" xfId="0" applyFont="1" applyFill="1" applyBorder="1" applyProtection="1">
      <protection locked="0"/>
    </xf>
    <xf numFmtId="0" fontId="0" fillId="6" borderId="56" xfId="0" applyFill="1" applyBorder="1" applyAlignment="1" applyProtection="1">
      <alignment horizontal="left" indent="1"/>
      <protection locked="0"/>
    </xf>
    <xf numFmtId="0" fontId="5" fillId="6" borderId="57" xfId="0" applyFont="1" applyFill="1" applyBorder="1" applyProtection="1">
      <protection locked="0"/>
    </xf>
    <xf numFmtId="0" fontId="5" fillId="6" borderId="58" xfId="0" applyFont="1" applyFill="1" applyBorder="1" applyProtection="1">
      <protection locked="0"/>
    </xf>
    <xf numFmtId="0" fontId="5" fillId="6" borderId="26" xfId="0" applyFont="1" applyFill="1" applyBorder="1" applyAlignment="1">
      <alignment horizontal="right"/>
    </xf>
    <xf numFmtId="0" fontId="5" fillId="6" borderId="0" xfId="0" applyFont="1" applyFill="1" applyBorder="1" applyAlignment="1">
      <alignment horizontal="centerContinuous"/>
    </xf>
    <xf numFmtId="0" fontId="5" fillId="6" borderId="27" xfId="0" applyFont="1" applyFill="1" applyBorder="1" applyAlignment="1">
      <alignment horizontal="centerContinuous"/>
    </xf>
    <xf numFmtId="0" fontId="5" fillId="6" borderId="29" xfId="0" applyFont="1" applyFill="1" applyBorder="1" applyAlignment="1">
      <alignment horizontal="centerContinuous"/>
    </xf>
    <xf numFmtId="165" fontId="11" fillId="0" borderId="59" xfId="0" applyNumberFormat="1" applyFont="1" applyFill="1" applyBorder="1" applyProtection="1">
      <protection locked="0"/>
    </xf>
    <xf numFmtId="165" fontId="11" fillId="0" borderId="60" xfId="0" applyNumberFormat="1" applyFont="1" applyFill="1" applyBorder="1" applyProtection="1">
      <protection locked="0"/>
    </xf>
    <xf numFmtId="165" fontId="5" fillId="0" borderId="62" xfId="0" applyNumberFormat="1" applyFont="1" applyFill="1" applyBorder="1" applyProtection="1">
      <protection locked="0"/>
    </xf>
    <xf numFmtId="166" fontId="5" fillId="0" borderId="62" xfId="0" applyNumberFormat="1" applyFont="1" applyBorder="1" applyProtection="1">
      <protection locked="0"/>
    </xf>
    <xf numFmtId="166" fontId="5" fillId="0" borderId="63" xfId="0" applyNumberFormat="1" applyFont="1" applyBorder="1" applyProtection="1">
      <protection locked="0"/>
    </xf>
    <xf numFmtId="165" fontId="5" fillId="0" borderId="64" xfId="0" applyNumberFormat="1" applyFont="1" applyFill="1" applyBorder="1" applyProtection="1">
      <protection locked="0"/>
    </xf>
    <xf numFmtId="0" fontId="0" fillId="3" borderId="11" xfId="0" applyFill="1" applyBorder="1" applyProtection="1"/>
    <xf numFmtId="0" fontId="0" fillId="3" borderId="13" xfId="0" applyFill="1" applyBorder="1" applyProtection="1"/>
    <xf numFmtId="0" fontId="0" fillId="3" borderId="19" xfId="0" applyFill="1" applyBorder="1" applyProtection="1"/>
    <xf numFmtId="169" fontId="16" fillId="0" borderId="0" xfId="0" applyNumberFormat="1" applyFont="1" applyBorder="1" applyProtection="1"/>
    <xf numFmtId="169" fontId="16" fillId="0" borderId="21" xfId="0" applyNumberFormat="1" applyFont="1" applyBorder="1" applyProtection="1"/>
    <xf numFmtId="0" fontId="0" fillId="10" borderId="16" xfId="0" applyFill="1" applyBorder="1" applyAlignment="1" applyProtection="1">
      <alignment horizontal="centerContinuous"/>
    </xf>
    <xf numFmtId="0" fontId="0" fillId="3" borderId="11" xfId="0" applyFill="1" applyBorder="1" applyProtection="1">
      <protection locked="0"/>
    </xf>
    <xf numFmtId="0" fontId="0" fillId="3" borderId="13" xfId="0" applyFill="1" applyBorder="1" applyProtection="1">
      <protection locked="0"/>
    </xf>
    <xf numFmtId="170" fontId="24" fillId="10" borderId="14" xfId="0" applyNumberFormat="1" applyFont="1" applyFill="1" applyBorder="1" applyAlignment="1">
      <alignment horizontal="left" indent="1"/>
    </xf>
    <xf numFmtId="0" fontId="0" fillId="10" borderId="16" xfId="0" applyFill="1" applyBorder="1" applyAlignment="1" applyProtection="1">
      <alignment horizontal="left" indent="1"/>
      <protection locked="0"/>
    </xf>
    <xf numFmtId="0" fontId="0" fillId="0" borderId="0" xfId="0" applyFill="1" applyBorder="1" applyProtection="1"/>
    <xf numFmtId="0" fontId="0" fillId="0" borderId="0" xfId="0" applyFill="1" applyBorder="1" applyProtection="1">
      <protection locked="0"/>
    </xf>
    <xf numFmtId="0" fontId="9" fillId="0" borderId="0" xfId="0" applyFont="1" applyFill="1" applyBorder="1" applyProtection="1"/>
    <xf numFmtId="0" fontId="10" fillId="0" borderId="0" xfId="0" applyFont="1" applyFill="1" applyBorder="1" applyProtection="1"/>
    <xf numFmtId="0" fontId="11" fillId="0" borderId="0" xfId="0" applyFont="1" applyFill="1" applyBorder="1" applyProtection="1"/>
    <xf numFmtId="0" fontId="12" fillId="0" borderId="0" xfId="0" applyFont="1" applyFill="1" applyBorder="1" applyProtection="1"/>
    <xf numFmtId="0" fontId="1" fillId="0" borderId="0" xfId="0" applyFont="1" applyFill="1" applyBorder="1" applyProtection="1"/>
    <xf numFmtId="0" fontId="5" fillId="0" borderId="0" xfId="0" applyFont="1" applyFill="1" applyBorder="1" applyProtection="1"/>
    <xf numFmtId="0" fontId="5" fillId="0" borderId="0" xfId="0" applyFont="1" applyFill="1" applyBorder="1" applyProtection="1">
      <protection locked="0"/>
    </xf>
    <xf numFmtId="0" fontId="1" fillId="0" borderId="0" xfId="0" applyFont="1" applyFill="1" applyBorder="1" applyAlignment="1" applyProtection="1">
      <alignment horizontal="right"/>
      <protection locked="0"/>
    </xf>
    <xf numFmtId="0" fontId="9" fillId="0" borderId="0" xfId="0" applyFont="1" applyFill="1" applyBorder="1" applyProtection="1">
      <protection locked="0"/>
    </xf>
    <xf numFmtId="0" fontId="1" fillId="0" borderId="0" xfId="1" applyAlignment="1">
      <alignment horizontal="centerContinuous"/>
      <protection locked="0"/>
    </xf>
    <xf numFmtId="0" fontId="5" fillId="6" borderId="0" xfId="0" applyFont="1" applyFill="1" applyBorder="1" applyAlignment="1"/>
    <xf numFmtId="0" fontId="5" fillId="6" borderId="0" xfId="0" applyFont="1" applyFill="1" applyBorder="1"/>
    <xf numFmtId="0" fontId="9" fillId="6" borderId="0" xfId="0" applyFont="1" applyFill="1" applyBorder="1" applyProtection="1">
      <protection locked="0"/>
    </xf>
    <xf numFmtId="0" fontId="0" fillId="6" borderId="0" xfId="0" applyFill="1" applyBorder="1" applyProtection="1">
      <protection locked="0"/>
    </xf>
    <xf numFmtId="0" fontId="16" fillId="6" borderId="0" xfId="0" applyFont="1" applyFill="1" applyBorder="1"/>
    <xf numFmtId="0" fontId="11" fillId="6" borderId="0" xfId="0" applyFont="1" applyFill="1" applyBorder="1" applyProtection="1">
      <protection locked="0"/>
    </xf>
    <xf numFmtId="0" fontId="3" fillId="5" borderId="52" xfId="0" applyFont="1" applyFill="1" applyBorder="1" applyProtection="1">
      <protection locked="0"/>
    </xf>
    <xf numFmtId="0" fontId="0" fillId="5" borderId="53" xfId="0" applyFill="1" applyBorder="1" applyProtection="1">
      <protection locked="0"/>
    </xf>
    <xf numFmtId="0" fontId="0" fillId="5" borderId="54" xfId="0" applyFill="1" applyBorder="1" applyProtection="1">
      <protection locked="0"/>
    </xf>
    <xf numFmtId="0" fontId="9" fillId="6" borderId="51" xfId="0" applyFont="1" applyFill="1" applyBorder="1" applyProtection="1">
      <protection locked="0"/>
    </xf>
    <xf numFmtId="0" fontId="0" fillId="6" borderId="55" xfId="0" applyFill="1" applyBorder="1" applyProtection="1">
      <protection locked="0"/>
    </xf>
    <xf numFmtId="0" fontId="10" fillId="6" borderId="51" xfId="0" applyFont="1" applyFill="1" applyBorder="1" applyProtection="1">
      <protection locked="0"/>
    </xf>
    <xf numFmtId="0" fontId="0" fillId="6" borderId="51" xfId="0" applyFill="1" applyBorder="1" applyProtection="1">
      <protection locked="0"/>
    </xf>
    <xf numFmtId="0" fontId="9" fillId="6" borderId="56" xfId="0" applyFont="1" applyFill="1" applyBorder="1" applyProtection="1">
      <protection locked="0"/>
    </xf>
    <xf numFmtId="0" fontId="0" fillId="6" borderId="57" xfId="0" applyFill="1" applyBorder="1" applyProtection="1">
      <protection locked="0"/>
    </xf>
    <xf numFmtId="0" fontId="0" fillId="6" borderId="58" xfId="0" applyFill="1" applyBorder="1" applyProtection="1">
      <protection locked="0"/>
    </xf>
    <xf numFmtId="0" fontId="16" fillId="6" borderId="0" xfId="0" applyFont="1" applyFill="1" applyBorder="1" applyProtection="1">
      <protection locked="0"/>
    </xf>
    <xf numFmtId="0" fontId="3" fillId="11" borderId="23" xfId="0" applyFont="1" applyFill="1" applyBorder="1" applyAlignment="1">
      <alignment horizontal="centerContinuous"/>
    </xf>
    <xf numFmtId="0" fontId="3" fillId="11" borderId="24" xfId="0" applyFont="1" applyFill="1" applyBorder="1" applyAlignment="1">
      <alignment horizontal="centerContinuous"/>
    </xf>
    <xf numFmtId="0" fontId="3" fillId="11" borderId="25" xfId="0" applyFont="1" applyFill="1" applyBorder="1" applyAlignment="1">
      <alignment horizontal="centerContinuous"/>
    </xf>
    <xf numFmtId="0" fontId="5" fillId="3" borderId="26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Continuous"/>
    </xf>
    <xf numFmtId="0" fontId="3" fillId="3" borderId="27" xfId="0" applyFont="1" applyFill="1" applyBorder="1" applyAlignment="1">
      <alignment horizontal="centerContinuous"/>
    </xf>
    <xf numFmtId="0" fontId="5" fillId="3" borderId="26" xfId="0" applyFont="1" applyFill="1" applyBorder="1" applyAlignment="1">
      <alignment horizontal="right"/>
    </xf>
    <xf numFmtId="0" fontId="5" fillId="3" borderId="0" xfId="0" applyFont="1" applyFill="1" applyBorder="1" applyAlignment="1">
      <alignment horizontal="centerContinuous"/>
    </xf>
    <xf numFmtId="0" fontId="5" fillId="3" borderId="27" xfId="0" applyFont="1" applyFill="1" applyBorder="1" applyAlignment="1">
      <alignment horizontal="centerContinuous"/>
    </xf>
    <xf numFmtId="0" fontId="5" fillId="3" borderId="28" xfId="0" applyFont="1" applyFill="1" applyBorder="1" applyAlignment="1">
      <alignment horizontal="right"/>
    </xf>
    <xf numFmtId="0" fontId="5" fillId="3" borderId="29" xfId="0" applyFont="1" applyFill="1" applyBorder="1" applyAlignment="1">
      <alignment horizontal="centerContinuous"/>
    </xf>
    <xf numFmtId="0" fontId="5" fillId="3" borderId="30" xfId="0" applyFont="1" applyFill="1" applyBorder="1" applyAlignment="1">
      <alignment horizontal="centerContinuous"/>
    </xf>
    <xf numFmtId="0" fontId="16" fillId="6" borderId="0" xfId="0" applyFont="1" applyFill="1" applyBorder="1" applyAlignment="1"/>
    <xf numFmtId="0" fontId="5" fillId="6" borderId="0" xfId="0" quotePrefix="1" applyFont="1" applyFill="1" applyBorder="1" applyAlignment="1"/>
    <xf numFmtId="0" fontId="5" fillId="6" borderId="0" xfId="0" quotePrefix="1" applyFont="1" applyFill="1" applyBorder="1"/>
    <xf numFmtId="0" fontId="11" fillId="6" borderId="55" xfId="0" applyFont="1" applyFill="1" applyBorder="1" applyProtection="1">
      <protection locked="0"/>
    </xf>
    <xf numFmtId="0" fontId="5" fillId="6" borderId="0" xfId="0" applyFont="1" applyFill="1" applyBorder="1" applyAlignment="1" applyProtection="1">
      <alignment horizontal="centerContinuous"/>
      <protection locked="0"/>
    </xf>
    <xf numFmtId="0" fontId="5" fillId="6" borderId="0" xfId="0" applyFont="1" applyFill="1" applyBorder="1" applyAlignment="1" applyProtection="1">
      <alignment horizontal="right"/>
      <protection locked="0"/>
    </xf>
    <xf numFmtId="164" fontId="5" fillId="6" borderId="0" xfId="0" applyNumberFormat="1" applyFont="1" applyFill="1" applyBorder="1" applyAlignment="1" applyProtection="1">
      <alignment horizontal="right"/>
      <protection locked="0"/>
    </xf>
    <xf numFmtId="0" fontId="25" fillId="0" borderId="0" xfId="0" applyFont="1" applyAlignment="1">
      <alignment horizontal="left" vertical="center" indent="3" readingOrder="1"/>
    </xf>
    <xf numFmtId="165" fontId="11" fillId="0" borderId="65" xfId="0" applyNumberFormat="1" applyFont="1" applyFill="1" applyBorder="1" applyProtection="1">
      <protection locked="0"/>
    </xf>
    <xf numFmtId="165" fontId="5" fillId="0" borderId="66" xfId="0" applyNumberFormat="1" applyFont="1" applyFill="1" applyBorder="1" applyProtection="1">
      <protection locked="0"/>
    </xf>
    <xf numFmtId="165" fontId="5" fillId="0" borderId="67" xfId="0" applyNumberFormat="1" applyFont="1" applyFill="1" applyBorder="1" applyProtection="1">
      <protection locked="0"/>
    </xf>
    <xf numFmtId="165" fontId="5" fillId="0" borderId="68" xfId="0" applyNumberFormat="1" applyFont="1" applyFill="1" applyBorder="1" applyProtection="1">
      <protection locked="0"/>
    </xf>
    <xf numFmtId="166" fontId="5" fillId="0" borderId="69" xfId="0" applyNumberFormat="1" applyFont="1" applyBorder="1" applyProtection="1">
      <protection locked="0"/>
    </xf>
    <xf numFmtId="166" fontId="5" fillId="0" borderId="70" xfId="0" applyNumberFormat="1" applyFont="1" applyBorder="1" applyProtection="1">
      <protection locked="0"/>
    </xf>
    <xf numFmtId="0" fontId="5" fillId="0" borderId="71" xfId="0" applyFont="1" applyBorder="1" applyProtection="1">
      <protection locked="0"/>
    </xf>
    <xf numFmtId="0" fontId="5" fillId="0" borderId="72" xfId="0" applyFont="1" applyBorder="1" applyProtection="1">
      <protection locked="0"/>
    </xf>
    <xf numFmtId="165" fontId="5" fillId="0" borderId="73" xfId="0" applyNumberFormat="1" applyFont="1" applyFill="1" applyBorder="1" applyProtection="1">
      <protection locked="0"/>
    </xf>
    <xf numFmtId="0" fontId="1" fillId="0" borderId="0" xfId="0" applyFont="1" applyAlignment="1" applyProtection="1">
      <alignment horizontal="centerContinuous"/>
      <protection locked="0"/>
    </xf>
    <xf numFmtId="0" fontId="5" fillId="6" borderId="0" xfId="0" quotePrefix="1" applyFont="1" applyFill="1" applyBorder="1" applyProtection="1">
      <protection locked="0"/>
    </xf>
    <xf numFmtId="0" fontId="5" fillId="6" borderId="0" xfId="0" quotePrefix="1" applyFont="1" applyFill="1" applyBorder="1" applyAlignment="1" applyProtection="1">
      <protection locked="0"/>
    </xf>
    <xf numFmtId="0" fontId="5" fillId="9" borderId="0" xfId="0" quotePrefix="1" applyNumberFormat="1" applyFont="1" applyFill="1" applyBorder="1" applyAlignment="1" applyProtection="1">
      <protection locked="0"/>
    </xf>
    <xf numFmtId="166" fontId="5" fillId="0" borderId="73" xfId="0" applyNumberFormat="1" applyFont="1" applyBorder="1" applyProtection="1">
      <protection locked="0"/>
    </xf>
    <xf numFmtId="166" fontId="5" fillId="0" borderId="74" xfId="0" applyNumberFormat="1" applyFont="1" applyBorder="1" applyProtection="1">
      <protection locked="0"/>
    </xf>
    <xf numFmtId="164" fontId="3" fillId="0" borderId="69" xfId="0" applyNumberFormat="1" applyFont="1" applyBorder="1" applyProtection="1">
      <protection locked="0"/>
    </xf>
    <xf numFmtId="164" fontId="3" fillId="0" borderId="74" xfId="0" applyNumberFormat="1" applyFont="1" applyBorder="1" applyProtection="1">
      <protection locked="0"/>
    </xf>
    <xf numFmtId="164" fontId="3" fillId="0" borderId="62" xfId="0" applyNumberFormat="1" applyFont="1" applyBorder="1" applyProtection="1">
      <protection locked="0"/>
    </xf>
    <xf numFmtId="0" fontId="3" fillId="0" borderId="72" xfId="0" applyFont="1" applyBorder="1" applyProtection="1">
      <protection locked="0"/>
    </xf>
    <xf numFmtId="165" fontId="5" fillId="0" borderId="75" xfId="0" applyNumberFormat="1" applyFont="1" applyFill="1" applyBorder="1" applyProtection="1">
      <protection locked="0"/>
    </xf>
    <xf numFmtId="165" fontId="23" fillId="0" borderId="60" xfId="0" applyNumberFormat="1" applyFont="1" applyFill="1" applyBorder="1" applyProtection="1">
      <protection locked="0"/>
    </xf>
    <xf numFmtId="165" fontId="5" fillId="0" borderId="74" xfId="0" applyNumberFormat="1" applyFont="1" applyFill="1" applyBorder="1" applyProtection="1">
      <protection locked="0"/>
    </xf>
    <xf numFmtId="165" fontId="5" fillId="0" borderId="76" xfId="0" applyNumberFormat="1" applyFont="1" applyFill="1" applyBorder="1" applyProtection="1">
      <protection locked="0"/>
    </xf>
    <xf numFmtId="165" fontId="11" fillId="0" borderId="74" xfId="0" applyNumberFormat="1" applyFont="1" applyFill="1" applyBorder="1" applyProtection="1">
      <protection locked="0"/>
    </xf>
    <xf numFmtId="166" fontId="5" fillId="0" borderId="76" xfId="0" applyNumberFormat="1" applyFont="1" applyBorder="1" applyProtection="1">
      <protection locked="0"/>
    </xf>
    <xf numFmtId="164" fontId="3" fillId="0" borderId="63" xfId="0" applyNumberFormat="1" applyFont="1" applyBorder="1" applyProtection="1">
      <protection locked="0"/>
    </xf>
    <xf numFmtId="164" fontId="11" fillId="0" borderId="60" xfId="0" applyNumberFormat="1" applyFont="1" applyBorder="1" applyProtection="1">
      <protection locked="0"/>
    </xf>
    <xf numFmtId="166" fontId="11" fillId="0" borderId="60" xfId="0" applyNumberFormat="1" applyFont="1" applyBorder="1" applyProtection="1">
      <protection locked="0"/>
    </xf>
    <xf numFmtId="165" fontId="11" fillId="0" borderId="61" xfId="0" applyNumberFormat="1" applyFont="1" applyFill="1" applyBorder="1" applyProtection="1">
      <protection locked="0"/>
    </xf>
    <xf numFmtId="164" fontId="17" fillId="0" borderId="0" xfId="0" applyNumberFormat="1" applyFont="1" applyBorder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4" fillId="6" borderId="0" xfId="0" applyFont="1" applyFill="1" applyBorder="1" applyProtection="1">
      <protection locked="0"/>
    </xf>
    <xf numFmtId="164" fontId="3" fillId="0" borderId="77" xfId="0" applyNumberFormat="1" applyFont="1" applyBorder="1" applyProtection="1">
      <protection locked="0"/>
    </xf>
    <xf numFmtId="164" fontId="3" fillId="0" borderId="66" xfId="0" applyNumberFormat="1" applyFont="1" applyBorder="1" applyProtection="1">
      <protection locked="0"/>
    </xf>
    <xf numFmtId="0" fontId="0" fillId="3" borderId="0" xfId="0" applyFill="1" applyProtection="1">
      <protection locked="0"/>
    </xf>
    <xf numFmtId="164" fontId="3" fillId="12" borderId="67" xfId="0" applyNumberFormat="1" applyFont="1" applyFill="1" applyBorder="1" applyProtection="1">
      <protection locked="0"/>
    </xf>
    <xf numFmtId="172" fontId="3" fillId="6" borderId="0" xfId="0" applyNumberFormat="1" applyFont="1" applyFill="1" applyBorder="1" applyProtection="1">
      <protection locked="0"/>
    </xf>
    <xf numFmtId="0" fontId="3" fillId="6" borderId="0" xfId="0" quotePrefix="1" applyFont="1" applyFill="1" applyBorder="1" applyAlignment="1"/>
    <xf numFmtId="0" fontId="3" fillId="6" borderId="0" xfId="0" quotePrefix="1" applyFont="1" applyFill="1" applyBorder="1"/>
    <xf numFmtId="8" fontId="5" fillId="0" borderId="0" xfId="0" quotePrefix="1" applyNumberFormat="1" applyFont="1" applyProtection="1">
      <protection locked="0"/>
    </xf>
    <xf numFmtId="0" fontId="5" fillId="0" borderId="0" xfId="0" quotePrefix="1" applyFont="1" applyProtection="1">
      <protection locked="0"/>
    </xf>
    <xf numFmtId="0" fontId="0" fillId="3" borderId="55" xfId="0" applyFill="1" applyBorder="1" applyProtection="1">
      <protection locked="0"/>
    </xf>
    <xf numFmtId="0" fontId="5" fillId="3" borderId="0" xfId="0" applyFont="1" applyFill="1" applyBorder="1" applyAlignment="1" applyProtection="1">
      <alignment horizontal="right"/>
      <protection locked="0"/>
    </xf>
    <xf numFmtId="0" fontId="5" fillId="3" borderId="0" xfId="0" applyFont="1" applyFill="1" applyBorder="1" applyAlignment="1" applyProtection="1">
      <protection locked="0"/>
    </xf>
    <xf numFmtId="0" fontId="5" fillId="3" borderId="0" xfId="0" applyFont="1" applyFill="1" applyBorder="1" applyProtection="1">
      <protection locked="0"/>
    </xf>
    <xf numFmtId="0" fontId="27" fillId="10" borderId="0" xfId="0" applyFont="1" applyFill="1" applyBorder="1" applyAlignment="1" applyProtection="1">
      <alignment horizontal="right"/>
      <protection locked="0"/>
    </xf>
    <xf numFmtId="0" fontId="27" fillId="10" borderId="0" xfId="0" applyFont="1" applyFill="1" applyBorder="1" applyAlignment="1" applyProtection="1">
      <protection locked="0"/>
    </xf>
    <xf numFmtId="0" fontId="27" fillId="10" borderId="0" xfId="0" applyFont="1" applyFill="1" applyBorder="1" applyProtection="1">
      <protection locked="0"/>
    </xf>
    <xf numFmtId="0" fontId="0" fillId="10" borderId="55" xfId="0" applyFill="1" applyBorder="1" applyProtection="1">
      <protection locked="0"/>
    </xf>
    <xf numFmtId="0" fontId="5" fillId="10" borderId="0" xfId="0" applyFont="1" applyFill="1" applyBorder="1" applyAlignment="1" applyProtection="1">
      <alignment horizontal="right"/>
      <protection locked="0"/>
    </xf>
    <xf numFmtId="0" fontId="5" fillId="10" borderId="0" xfId="0" applyFont="1" applyFill="1" applyBorder="1" applyAlignment="1" applyProtection="1">
      <protection locked="0"/>
    </xf>
    <xf numFmtId="0" fontId="0" fillId="10" borderId="0" xfId="0" applyFill="1" applyBorder="1" applyProtection="1">
      <protection locked="0"/>
    </xf>
    <xf numFmtId="0" fontId="5" fillId="10" borderId="0" xfId="0" applyFont="1" applyFill="1" applyBorder="1" applyProtection="1">
      <protection locked="0"/>
    </xf>
    <xf numFmtId="0" fontId="0" fillId="10" borderId="58" xfId="0" applyFill="1" applyBorder="1" applyProtection="1">
      <protection locked="0"/>
    </xf>
    <xf numFmtId="0" fontId="5" fillId="10" borderId="57" xfId="0" applyFont="1" applyFill="1" applyBorder="1" applyAlignment="1" applyProtection="1">
      <alignment horizontal="right"/>
      <protection locked="0"/>
    </xf>
    <xf numFmtId="0" fontId="0" fillId="10" borderId="57" xfId="0" applyFill="1" applyBorder="1" applyProtection="1">
      <protection locked="0"/>
    </xf>
    <xf numFmtId="0" fontId="5" fillId="10" borderId="57" xfId="0" applyFont="1" applyFill="1" applyBorder="1" applyProtection="1">
      <protection locked="0"/>
    </xf>
    <xf numFmtId="171" fontId="3" fillId="3" borderId="51" xfId="0" applyNumberFormat="1" applyFont="1" applyFill="1" applyBorder="1" applyAlignment="1" applyProtection="1">
      <alignment horizontal="centerContinuous"/>
      <protection locked="0"/>
    </xf>
    <xf numFmtId="171" fontId="3" fillId="10" borderId="51" xfId="0" applyNumberFormat="1" applyFont="1" applyFill="1" applyBorder="1" applyAlignment="1" applyProtection="1">
      <alignment horizontal="centerContinuous"/>
      <protection locked="0"/>
    </xf>
    <xf numFmtId="171" fontId="3" fillId="10" borderId="56" xfId="0" applyNumberFormat="1" applyFont="1" applyFill="1" applyBorder="1" applyAlignment="1" applyProtection="1">
      <alignment horizontal="centerContinuous"/>
      <protection locked="0"/>
    </xf>
    <xf numFmtId="165" fontId="5" fillId="0" borderId="0" xfId="0" applyNumberFormat="1" applyFont="1" applyFill="1" applyBorder="1" applyAlignment="1" applyProtection="1">
      <alignment horizontal="centerContinuous"/>
      <protection locked="0"/>
    </xf>
    <xf numFmtId="165" fontId="5" fillId="0" borderId="0" xfId="0" applyNumberFormat="1" applyFont="1" applyBorder="1" applyAlignment="1" applyProtection="1">
      <alignment horizontal="centerContinuous"/>
      <protection locked="0"/>
    </xf>
    <xf numFmtId="165" fontId="3" fillId="0" borderId="0" xfId="0" applyNumberFormat="1" applyFont="1" applyFill="1" applyBorder="1" applyAlignment="1" applyProtection="1">
      <alignment horizontal="centerContinuous"/>
      <protection locked="0"/>
    </xf>
    <xf numFmtId="165" fontId="5" fillId="0" borderId="0" xfId="0" applyNumberFormat="1" applyFont="1" applyFill="1" applyBorder="1" applyAlignment="1" applyProtection="1">
      <alignment horizontal="centerContinuous"/>
    </xf>
    <xf numFmtId="165" fontId="5" fillId="0" borderId="0" xfId="0" applyNumberFormat="1" applyFont="1" applyBorder="1" applyAlignment="1" applyProtection="1">
      <alignment horizontal="centerContinuous"/>
    </xf>
    <xf numFmtId="165" fontId="3" fillId="0" borderId="0" xfId="0" applyNumberFormat="1" applyFont="1" applyFill="1" applyBorder="1" applyAlignment="1" applyProtection="1">
      <alignment horizontal="centerContinuous"/>
    </xf>
    <xf numFmtId="170" fontId="24" fillId="10" borderId="14" xfId="0" applyNumberFormat="1" applyFont="1" applyFill="1" applyBorder="1" applyAlignment="1">
      <alignment horizontal="centerContinuous"/>
    </xf>
    <xf numFmtId="0" fontId="3" fillId="3" borderId="0" xfId="0" applyFont="1" applyFill="1" applyBorder="1" applyProtection="1">
      <protection locked="0"/>
    </xf>
    <xf numFmtId="0" fontId="3" fillId="3" borderId="18" xfId="0" applyFont="1" applyFill="1" applyBorder="1" applyProtection="1">
      <protection locked="0"/>
    </xf>
    <xf numFmtId="0" fontId="5" fillId="3" borderId="19" xfId="0" applyFont="1" applyFill="1" applyBorder="1" applyProtection="1">
      <protection locked="0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2" fillId="2" borderId="1" xfId="0" applyFont="1" applyFill="1" applyBorder="1" applyProtection="1">
      <protection hidden="1"/>
    </xf>
    <xf numFmtId="0" fontId="3" fillId="2" borderId="2" xfId="0" applyFont="1" applyFill="1" applyBorder="1" applyProtection="1">
      <protection hidden="1"/>
    </xf>
    <xf numFmtId="0" fontId="3" fillId="2" borderId="3" xfId="0" applyFont="1" applyFill="1" applyBorder="1" applyProtection="1">
      <protection hidden="1"/>
    </xf>
    <xf numFmtId="0" fontId="0" fillId="0" borderId="4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5" xfId="0" applyBorder="1" applyProtection="1">
      <protection hidden="1"/>
    </xf>
    <xf numFmtId="0" fontId="3" fillId="0" borderId="4" xfId="0" applyFont="1" applyBorder="1" applyAlignment="1" applyProtection="1">
      <alignment vertical="top" wrapText="1"/>
      <protection hidden="1"/>
    </xf>
    <xf numFmtId="0" fontId="3" fillId="0" borderId="0" xfId="0" applyFont="1" applyBorder="1" applyAlignment="1" applyProtection="1">
      <alignment vertical="top" wrapText="1"/>
      <protection hidden="1"/>
    </xf>
    <xf numFmtId="0" fontId="0" fillId="0" borderId="5" xfId="0" applyBorder="1" applyAlignment="1" applyProtection="1">
      <alignment vertical="top"/>
      <protection hidden="1"/>
    </xf>
    <xf numFmtId="0" fontId="0" fillId="0" borderId="0" xfId="0" applyAlignment="1" applyProtection="1">
      <alignment vertical="top"/>
      <protection hidden="1"/>
    </xf>
    <xf numFmtId="0" fontId="3" fillId="0" borderId="0" xfId="0" applyFont="1" applyProtection="1">
      <protection hidden="1"/>
    </xf>
    <xf numFmtId="0" fontId="4" fillId="0" borderId="0" xfId="0" applyFont="1" applyBorder="1" applyAlignment="1" applyProtection="1">
      <alignment horizontal="left" vertical="top" wrapText="1"/>
      <protection hidden="1"/>
    </xf>
    <xf numFmtId="0" fontId="0" fillId="0" borderId="5" xfId="0" applyNumberFormat="1" applyBorder="1" applyProtection="1">
      <protection hidden="1"/>
    </xf>
    <xf numFmtId="0" fontId="5" fillId="0" borderId="0" xfId="0" applyFont="1" applyProtection="1">
      <protection hidden="1"/>
    </xf>
    <xf numFmtId="0" fontId="26" fillId="0" borderId="5" xfId="2" applyBorder="1" applyAlignment="1" applyProtection="1">
      <protection hidden="1"/>
    </xf>
    <xf numFmtId="0" fontId="3" fillId="0" borderId="1" xfId="0" applyFont="1" applyBorder="1" applyAlignment="1" applyProtection="1">
      <alignment vertical="top" wrapText="1"/>
      <protection hidden="1"/>
    </xf>
    <xf numFmtId="0" fontId="3" fillId="0" borderId="2" xfId="0" applyFont="1" applyBorder="1" applyAlignment="1" applyProtection="1">
      <alignment vertical="top" wrapText="1"/>
      <protection hidden="1"/>
    </xf>
    <xf numFmtId="0" fontId="0" fillId="0" borderId="3" xfId="0" applyBorder="1" applyProtection="1">
      <protection hidden="1"/>
    </xf>
    <xf numFmtId="0" fontId="3" fillId="0" borderId="0" xfId="0" applyFont="1" applyBorder="1" applyAlignment="1" applyProtection="1">
      <alignment vertical="top"/>
      <protection hidden="1"/>
    </xf>
    <xf numFmtId="0" fontId="0" fillId="0" borderId="5" xfId="0" applyBorder="1" applyAlignment="1" applyProtection="1">
      <protection hidden="1"/>
    </xf>
    <xf numFmtId="0" fontId="0" fillId="0" borderId="0" xfId="0" applyAlignment="1" applyProtection="1">
      <alignment horizontal="centerContinuous"/>
      <protection hidden="1"/>
    </xf>
    <xf numFmtId="0" fontId="7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centerContinuous"/>
      <protection hidden="1"/>
    </xf>
    <xf numFmtId="0" fontId="8" fillId="0" borderId="5" xfId="0" applyFont="1" applyBorder="1" applyAlignment="1" applyProtection="1">
      <alignment horizontal="centerContinuous"/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165" fontId="5" fillId="7" borderId="0" xfId="0" applyNumberFormat="1" applyFont="1" applyFill="1" applyBorder="1" applyProtection="1"/>
    <xf numFmtId="165" fontId="5" fillId="0" borderId="0" xfId="0" applyNumberFormat="1" applyFont="1" applyFill="1" applyProtection="1"/>
    <xf numFmtId="165" fontId="0" fillId="0" borderId="0" xfId="0" applyNumberFormat="1" applyProtection="1"/>
    <xf numFmtId="165" fontId="5" fillId="7" borderId="0" xfId="0" applyNumberFormat="1" applyFont="1" applyFill="1" applyBorder="1" applyProtection="1">
      <protection locked="0"/>
    </xf>
    <xf numFmtId="0" fontId="3" fillId="3" borderId="51" xfId="0" applyFont="1" applyFill="1" applyBorder="1" applyAlignment="1" applyProtection="1">
      <alignment horizontal="center" vertical="center"/>
      <protection locked="0"/>
    </xf>
    <xf numFmtId="166" fontId="11" fillId="0" borderId="74" xfId="0" applyNumberFormat="1" applyFont="1" applyBorder="1" applyProtection="1">
      <protection locked="0"/>
    </xf>
    <xf numFmtId="0" fontId="27" fillId="3" borderId="0" xfId="0" applyFont="1" applyFill="1" applyBorder="1" applyAlignment="1" applyProtection="1">
      <alignment horizontal="right"/>
      <protection locked="0"/>
    </xf>
    <xf numFmtId="0" fontId="27" fillId="3" borderId="0" xfId="0" applyFont="1" applyFill="1" applyBorder="1" applyAlignment="1" applyProtection="1">
      <protection locked="0"/>
    </xf>
    <xf numFmtId="0" fontId="27" fillId="3" borderId="0" xfId="0" applyFont="1" applyFill="1" applyBorder="1" applyProtection="1">
      <protection locked="0"/>
    </xf>
    <xf numFmtId="0" fontId="27" fillId="10" borderId="58" xfId="0" applyFont="1" applyFill="1" applyBorder="1" applyProtection="1">
      <protection locked="0"/>
    </xf>
    <xf numFmtId="0" fontId="5" fillId="10" borderId="57" xfId="0" applyFont="1" applyFill="1" applyBorder="1" applyAlignment="1" applyProtection="1">
      <protection locked="0"/>
    </xf>
    <xf numFmtId="0" fontId="3" fillId="3" borderId="51" xfId="0" applyFont="1" applyFill="1" applyBorder="1" applyAlignment="1" applyProtection="1">
      <alignment horizontal="centerContinuous"/>
      <protection locked="0"/>
    </xf>
    <xf numFmtId="0" fontId="29" fillId="6" borderId="0" xfId="0" applyFont="1" applyFill="1" applyBorder="1" applyProtection="1">
      <protection locked="0"/>
    </xf>
    <xf numFmtId="0" fontId="4" fillId="6" borderId="0" xfId="0" quotePrefix="1" applyFont="1" applyFill="1" applyBorder="1" applyAlignment="1"/>
    <xf numFmtId="0" fontId="4" fillId="6" borderId="0" xfId="0" applyFont="1" applyFill="1" applyBorder="1" applyAlignment="1" applyProtection="1">
      <alignment vertical="top"/>
      <protection locked="0"/>
    </xf>
    <xf numFmtId="166" fontId="17" fillId="0" borderId="0" xfId="0" applyNumberFormat="1" applyFont="1" applyProtection="1"/>
    <xf numFmtId="166" fontId="11" fillId="0" borderId="35" xfId="0" applyNumberFormat="1" applyFont="1" applyBorder="1" applyProtection="1">
      <protection locked="0"/>
    </xf>
    <xf numFmtId="0" fontId="3" fillId="5" borderId="52" xfId="0" applyFont="1" applyFill="1" applyBorder="1" applyProtection="1">
      <protection hidden="1"/>
    </xf>
    <xf numFmtId="0" fontId="0" fillId="5" borderId="53" xfId="0" applyFill="1" applyBorder="1" applyProtection="1">
      <protection hidden="1"/>
    </xf>
    <xf numFmtId="0" fontId="0" fillId="5" borderId="54" xfId="0" applyFill="1" applyBorder="1" applyProtection="1">
      <protection hidden="1"/>
    </xf>
    <xf numFmtId="0" fontId="0" fillId="6" borderId="51" xfId="0" applyFill="1" applyBorder="1" applyAlignment="1" applyProtection="1">
      <alignment horizontal="left" indent="1"/>
      <protection hidden="1"/>
    </xf>
    <xf numFmtId="0" fontId="0" fillId="6" borderId="55" xfId="0" applyFill="1" applyBorder="1" applyProtection="1">
      <protection hidden="1"/>
    </xf>
    <xf numFmtId="0" fontId="5" fillId="6" borderId="51" xfId="0" applyFont="1" applyFill="1" applyBorder="1" applyAlignment="1" applyProtection="1">
      <alignment horizontal="left" indent="1"/>
      <protection hidden="1"/>
    </xf>
    <xf numFmtId="0" fontId="5" fillId="6" borderId="56" xfId="0" applyFont="1" applyFill="1" applyBorder="1" applyAlignment="1" applyProtection="1">
      <alignment horizontal="left" indent="1"/>
      <protection hidden="1"/>
    </xf>
    <xf numFmtId="0" fontId="0" fillId="6" borderId="57" xfId="0" applyFill="1" applyBorder="1" applyProtection="1">
      <protection hidden="1"/>
    </xf>
    <xf numFmtId="0" fontId="0" fillId="6" borderId="58" xfId="0" applyFill="1" applyBorder="1" applyProtection="1">
      <protection hidden="1"/>
    </xf>
    <xf numFmtId="0" fontId="4" fillId="6" borderId="51" xfId="0" applyFont="1" applyFill="1" applyBorder="1" applyAlignment="1" applyProtection="1">
      <alignment horizontal="left" indent="1"/>
      <protection hidden="1"/>
    </xf>
    <xf numFmtId="0" fontId="0" fillId="6" borderId="56" xfId="0" applyFill="1" applyBorder="1" applyAlignment="1" applyProtection="1">
      <alignment horizontal="left" indent="1"/>
      <protection hidden="1"/>
    </xf>
    <xf numFmtId="0" fontId="3" fillId="10" borderId="51" xfId="0" applyFont="1" applyFill="1" applyBorder="1" applyAlignment="1" applyProtection="1">
      <alignment horizontal="center" vertical="center"/>
      <protection locked="0"/>
    </xf>
    <xf numFmtId="0" fontId="0" fillId="0" borderId="5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3" fillId="3" borderId="51" xfId="0" applyFont="1" applyFill="1" applyBorder="1" applyAlignment="1" applyProtection="1">
      <alignment horizontal="center" vertical="center"/>
      <protection locked="0"/>
    </xf>
    <xf numFmtId="0" fontId="3" fillId="3" borderId="51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0" fillId="0" borderId="51" xfId="0" applyBorder="1" applyAlignment="1"/>
    <xf numFmtId="0" fontId="0" fillId="0" borderId="56" xfId="0" applyBorder="1" applyAlignment="1"/>
  </cellXfs>
  <cellStyles count="3">
    <cellStyle name="Hyperlink" xfId="2" builtinId="8"/>
    <cellStyle name="Normal" xfId="0" builtinId="0"/>
    <cellStyle name="TTS" xfId="1"/>
  </cellStyles>
  <dxfs count="141">
    <dxf>
      <fill>
        <patternFill>
          <bgColor rgb="FFFFFF66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rgb="FFFFFF66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rgb="FFFFFF99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26"/>
        </patternFill>
      </fill>
    </dxf>
    <dxf>
      <fill>
        <patternFill>
          <bgColor indexed="43"/>
        </patternFill>
      </fill>
    </dxf>
    <dxf>
      <fill>
        <patternFill>
          <bgColor rgb="FFFFFF99"/>
        </patternFill>
      </fill>
    </dxf>
    <dxf>
      <fill>
        <patternFill>
          <bgColor indexed="43"/>
        </patternFill>
      </fill>
    </dxf>
    <dxf>
      <fill>
        <patternFill>
          <bgColor rgb="FFFFFF99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rgb="FFFFFF99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26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26"/>
        </patternFill>
      </fill>
    </dxf>
    <dxf>
      <fill>
        <patternFill>
          <bgColor rgb="FFFFFF66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26"/>
        </patternFill>
      </fill>
    </dxf>
  </dxfs>
  <tableStyles count="0" defaultTableStyle="TableStyleMedium2" defaultPivotStyle="PivotStyleLight16"/>
  <colors>
    <mruColors>
      <color rgb="FFFFFF99"/>
      <color rgb="FF009900"/>
      <color rgb="FF3333FF"/>
      <color rgb="FFFFFFCC"/>
      <color rgb="FFFFCC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cebook.com/pages/Training-The-Street/56806716383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://www.trainingthestreet.com/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trainingthestreet.com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trainingthestreet.com/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jpeg"/><Relationship Id="rId1" Type="http://schemas.openxmlformats.org/officeDocument/2006/relationships/hyperlink" Target="http://www.trainingthestreet.com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trainingthestreet.com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trainingthestreet.com/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jpeg"/><Relationship Id="rId1" Type="http://schemas.openxmlformats.org/officeDocument/2006/relationships/hyperlink" Target="http://www.trainingthestreet.com/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trainingthestreet.com/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trainingthestreet.co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0</xdr:row>
      <xdr:rowOff>99060</xdr:rowOff>
    </xdr:from>
    <xdr:to>
      <xdr:col>4</xdr:col>
      <xdr:colOff>22860</xdr:colOff>
      <xdr:row>3</xdr:row>
      <xdr:rowOff>16764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99060"/>
          <a:ext cx="5760720" cy="403479"/>
        </a:xfrm>
        <a:prstGeom prst="rect">
          <a:avLst/>
        </a:prstGeom>
      </xdr:spPr>
    </xdr:pic>
    <xdr:clientData/>
  </xdr:twoCellAnchor>
  <xdr:oneCellAnchor>
    <xdr:from>
      <xdr:col>5</xdr:col>
      <xdr:colOff>361950</xdr:colOff>
      <xdr:row>16</xdr:row>
      <xdr:rowOff>57150</xdr:rowOff>
    </xdr:from>
    <xdr:ext cx="1352550" cy="962025"/>
    <xdr:pic>
      <xdr:nvPicPr>
        <xdr:cNvPr id="3" name="Picture 2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2305050"/>
          <a:ext cx="13525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306917</xdr:colOff>
      <xdr:row>5</xdr:row>
      <xdr:rowOff>105833</xdr:rowOff>
    </xdr:from>
    <xdr:ext cx="1800225" cy="200025"/>
    <xdr:pic>
      <xdr:nvPicPr>
        <xdr:cNvPr id="3" name="Picture 37" descr="40%TTS LogoPMSFinal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6917" y="899583"/>
          <a:ext cx="1800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158750</xdr:colOff>
      <xdr:row>22</xdr:row>
      <xdr:rowOff>22227</xdr:rowOff>
    </xdr:from>
    <xdr:to>
      <xdr:col>24</xdr:col>
      <xdr:colOff>539749</xdr:colOff>
      <xdr:row>49</xdr:row>
      <xdr:rowOff>52916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9334500" y="339727"/>
          <a:ext cx="3714749" cy="41476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noFill/>
          <a:miter lim="800000"/>
          <a:headEnd/>
          <a:tailEnd/>
        </a:ln>
        <a:effectLst/>
      </xdr:spPr>
      <xdr:txBody>
        <a:bodyPr wrap="square" lIns="101811" tIns="50906" rIns="101811" bIns="50906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Input the Unlevered Free Cash Flow line items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Calculate the historical ratios and growth rates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Forecast net sales for the projected years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Project future operating expenses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Add "Steps"</a:t>
          </a:r>
          <a:r>
            <a:rPr lang="en-US" sz="1150" b="0" baseline="0"/>
            <a:t> to your assumptions</a:t>
          </a:r>
          <a:endParaRPr lang="en-US" sz="1150" b="0"/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Calculate totals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Project Capital Expenditures &amp; Depreciation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Project Additions to Intangibles and Amortization 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Project future working capital requirements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Calculate Unlevered Free Cash Flow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Calculate the net present value of the unlevered free cash flow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Calculate the terminal value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Calculate the present value of terminal value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Calculate the Enterprise Value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Calculate the Equity Value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Calculate the equity value per share</a:t>
          </a: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r>
            <a:rPr lang="en-US" sz="1150" b="0"/>
            <a:t>Sensitize the equity value per share</a:t>
          </a:r>
          <a:endParaRPr lang="en-US" sz="1150" b="1"/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endParaRPr lang="en-US" sz="1150" b="1"/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endParaRPr lang="en-US" sz="1150" b="1">
            <a:solidFill>
              <a:srgbClr val="FF0000"/>
            </a:solidFill>
          </a:endParaRPr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endParaRPr lang="en-US" sz="1150" b="1"/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endParaRPr lang="en-US" sz="1150" b="1"/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endParaRPr lang="en-US" sz="1150" b="1"/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endParaRPr lang="en-US" sz="1150" b="1"/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endParaRPr lang="en-US" sz="1150" b="1"/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endParaRPr lang="en-US" sz="1150" b="1"/>
        </a:p>
        <a:p>
          <a:pPr marL="293484" indent="-293484" defTabSz="1018460">
            <a:spcBef>
              <a:spcPts val="460"/>
            </a:spcBef>
            <a:buClr>
              <a:srgbClr val="2D4F2F"/>
            </a:buClr>
            <a:buFontTx/>
            <a:buAutoNum type="arabicParenR"/>
          </a:pPr>
          <a:endParaRPr lang="en-US" sz="1150" b="1"/>
        </a:p>
      </xdr:txBody>
    </xdr:sp>
    <xdr:clientData/>
  </xdr:twoCellAnchor>
  <xdr:oneCellAnchor>
    <xdr:from>
      <xdr:col>15</xdr:col>
      <xdr:colOff>190500</xdr:colOff>
      <xdr:row>76</xdr:row>
      <xdr:rowOff>0</xdr:rowOff>
    </xdr:from>
    <xdr:ext cx="1800225" cy="200025"/>
    <xdr:pic>
      <xdr:nvPicPr>
        <xdr:cNvPr id="2" name="Picture 37" descr="40%TTS LogoPMSFinal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9934575"/>
          <a:ext cx="1800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190500</xdr:colOff>
      <xdr:row>81</xdr:row>
      <xdr:rowOff>0</xdr:rowOff>
    </xdr:from>
    <xdr:ext cx="1800225" cy="200025"/>
    <xdr:pic>
      <xdr:nvPicPr>
        <xdr:cNvPr id="2" name="Picture 37" descr="40%TTS LogoPMSFinal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9934575"/>
          <a:ext cx="1800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171450</xdr:colOff>
      <xdr:row>26</xdr:row>
      <xdr:rowOff>47625</xdr:rowOff>
    </xdr:from>
    <xdr:to>
      <xdr:col>5</xdr:col>
      <xdr:colOff>219075</xdr:colOff>
      <xdr:row>28</xdr:row>
      <xdr:rowOff>9475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514350" y="5219700"/>
          <a:ext cx="1381125" cy="285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378" tIns="45688" rIns="91378" bIns="45688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200">
              <a:latin typeface="Trebuchet MS" pitchFamily="34" charset="0"/>
            </a:rPr>
            <a:t>Inputs are </a:t>
          </a:r>
          <a:r>
            <a:rPr lang="en-US" sz="1200">
              <a:solidFill>
                <a:srgbClr val="0000FF"/>
              </a:solidFill>
              <a:latin typeface="Trebuchet MS" pitchFamily="34" charset="0"/>
            </a:rPr>
            <a:t>BLUE</a:t>
          </a:r>
          <a:endParaRPr lang="en-US" sz="1200">
            <a:latin typeface="Trebuchet MS" pitchFamily="34" charset="0"/>
          </a:endParaRPr>
        </a:p>
      </xdr:txBody>
    </xdr:sp>
    <xdr:clientData/>
  </xdr:twoCellAnchor>
  <xdr:twoCellAnchor>
    <xdr:from>
      <xdr:col>4</xdr:col>
      <xdr:colOff>195263</xdr:colOff>
      <xdr:row>28</xdr:row>
      <xdr:rowOff>9475</xdr:rowOff>
    </xdr:from>
    <xdr:to>
      <xdr:col>6</xdr:col>
      <xdr:colOff>14796</xdr:colOff>
      <xdr:row>29</xdr:row>
      <xdr:rowOff>47551</xdr:rowOff>
    </xdr:to>
    <xdr:cxnSp macro="">
      <xdr:nvCxnSpPr>
        <xdr:cNvPr id="4" name="AutoShape 16"/>
        <xdr:cNvCxnSpPr>
          <a:cxnSpLocks noChangeShapeType="1"/>
          <a:stCxn id="3" idx="2"/>
        </xdr:cNvCxnSpPr>
      </xdr:nvCxnSpPr>
      <xdr:spPr bwMode="auto">
        <a:xfrm>
          <a:off x="1204913" y="5505400"/>
          <a:ext cx="1153033" cy="200001"/>
        </a:xfrm>
        <a:prstGeom prst="straightConnector1">
          <a:avLst/>
        </a:prstGeom>
        <a:noFill/>
        <a:ln w="9525">
          <a:solidFill>
            <a:srgbClr val="3333FF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4</xdr:col>
      <xdr:colOff>195263</xdr:colOff>
      <xdr:row>28</xdr:row>
      <xdr:rowOff>9475</xdr:rowOff>
    </xdr:from>
    <xdr:to>
      <xdr:col>6</xdr:col>
      <xdr:colOff>258622</xdr:colOff>
      <xdr:row>35</xdr:row>
      <xdr:rowOff>6837</xdr:rowOff>
    </xdr:to>
    <xdr:cxnSp macro="">
      <xdr:nvCxnSpPr>
        <xdr:cNvPr id="5" name="AutoShape 17"/>
        <xdr:cNvCxnSpPr>
          <a:cxnSpLocks noChangeShapeType="1"/>
          <a:stCxn id="3" idx="2"/>
        </xdr:cNvCxnSpPr>
      </xdr:nvCxnSpPr>
      <xdr:spPr bwMode="auto">
        <a:xfrm>
          <a:off x="1204913" y="5505400"/>
          <a:ext cx="1396859" cy="1045112"/>
        </a:xfrm>
        <a:prstGeom prst="straightConnector1">
          <a:avLst/>
        </a:prstGeom>
        <a:noFill/>
        <a:ln w="9525">
          <a:solidFill>
            <a:srgbClr val="3333FF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4</xdr:col>
      <xdr:colOff>195263</xdr:colOff>
      <xdr:row>28</xdr:row>
      <xdr:rowOff>9475</xdr:rowOff>
    </xdr:from>
    <xdr:to>
      <xdr:col>7</xdr:col>
      <xdr:colOff>49072</xdr:colOff>
      <xdr:row>41</xdr:row>
      <xdr:rowOff>87152</xdr:rowOff>
    </xdr:to>
    <xdr:cxnSp macro="">
      <xdr:nvCxnSpPr>
        <xdr:cNvPr id="6" name="AutoShape 18"/>
        <xdr:cNvCxnSpPr>
          <a:cxnSpLocks noChangeShapeType="1"/>
          <a:stCxn id="3" idx="2"/>
        </xdr:cNvCxnSpPr>
      </xdr:nvCxnSpPr>
      <xdr:spPr bwMode="auto">
        <a:xfrm>
          <a:off x="1204913" y="5505400"/>
          <a:ext cx="1854059" cy="2011252"/>
        </a:xfrm>
        <a:prstGeom prst="straightConnector1">
          <a:avLst/>
        </a:prstGeom>
        <a:noFill/>
        <a:ln w="9525">
          <a:solidFill>
            <a:srgbClr val="3333FF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10</xdr:col>
      <xdr:colOff>581025</xdr:colOff>
      <xdr:row>36</xdr:row>
      <xdr:rowOff>57178</xdr:rowOff>
    </xdr:from>
    <xdr:to>
      <xdr:col>15</xdr:col>
      <xdr:colOff>66675</xdr:colOff>
      <xdr:row>38</xdr:row>
      <xdr:rowOff>17490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5591175" y="3600478"/>
          <a:ext cx="2266950" cy="284162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378" tIns="45688" rIns="91378" bIns="45688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algn="l" eaLnBrk="0" hangingPunct="0"/>
          <a:r>
            <a:rPr lang="en-US" sz="1200">
              <a:latin typeface="Trebuchet MS" pitchFamily="34" charset="0"/>
            </a:rPr>
            <a:t>Calculations (BLACK formulas)</a:t>
          </a:r>
        </a:p>
      </xdr:txBody>
    </xdr:sp>
    <xdr:clientData/>
  </xdr:twoCellAnchor>
  <xdr:twoCellAnchor>
    <xdr:from>
      <xdr:col>8</xdr:col>
      <xdr:colOff>657225</xdr:colOff>
      <xdr:row>33</xdr:row>
      <xdr:rowOff>95250</xdr:rowOff>
    </xdr:from>
    <xdr:to>
      <xdr:col>10</xdr:col>
      <xdr:colOff>581025</xdr:colOff>
      <xdr:row>37</xdr:row>
      <xdr:rowOff>37334</xdr:rowOff>
    </xdr:to>
    <xdr:cxnSp macro="">
      <xdr:nvCxnSpPr>
        <xdr:cNvPr id="8" name="AutoShape 11"/>
        <xdr:cNvCxnSpPr>
          <a:cxnSpLocks noChangeShapeType="1"/>
          <a:stCxn id="7" idx="1"/>
        </xdr:cNvCxnSpPr>
      </xdr:nvCxnSpPr>
      <xdr:spPr bwMode="auto">
        <a:xfrm flipH="1" flipV="1">
          <a:off x="4333875" y="3152775"/>
          <a:ext cx="1257300" cy="58978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8</xdr:col>
      <xdr:colOff>628650</xdr:colOff>
      <xdr:row>37</xdr:row>
      <xdr:rowOff>37334</xdr:rowOff>
    </xdr:from>
    <xdr:to>
      <xdr:col>10</xdr:col>
      <xdr:colOff>581025</xdr:colOff>
      <xdr:row>44</xdr:row>
      <xdr:rowOff>66675</xdr:rowOff>
    </xdr:to>
    <xdr:cxnSp macro="">
      <xdr:nvCxnSpPr>
        <xdr:cNvPr id="9" name="AutoShape 12"/>
        <xdr:cNvCxnSpPr>
          <a:cxnSpLocks noChangeShapeType="1"/>
          <a:stCxn id="7" idx="1"/>
        </xdr:cNvCxnSpPr>
      </xdr:nvCxnSpPr>
      <xdr:spPr bwMode="auto">
        <a:xfrm flipH="1">
          <a:off x="4305300" y="3742559"/>
          <a:ext cx="1285875" cy="107709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8</xdr:col>
      <xdr:colOff>657225</xdr:colOff>
      <xdr:row>30</xdr:row>
      <xdr:rowOff>85725</xdr:rowOff>
    </xdr:from>
    <xdr:to>
      <xdr:col>10</xdr:col>
      <xdr:colOff>581025</xdr:colOff>
      <xdr:row>37</xdr:row>
      <xdr:rowOff>37334</xdr:rowOff>
    </xdr:to>
    <xdr:cxnSp macro="">
      <xdr:nvCxnSpPr>
        <xdr:cNvPr id="10" name="AutoShape 13"/>
        <xdr:cNvCxnSpPr>
          <a:cxnSpLocks noChangeShapeType="1"/>
          <a:stCxn id="7" idx="1"/>
        </xdr:cNvCxnSpPr>
      </xdr:nvCxnSpPr>
      <xdr:spPr bwMode="auto">
        <a:xfrm flipH="1" flipV="1">
          <a:off x="4333875" y="2743200"/>
          <a:ext cx="1257300" cy="99935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9</xdr:col>
      <xdr:colOff>0</xdr:colOff>
      <xdr:row>37</xdr:row>
      <xdr:rowOff>37334</xdr:rowOff>
    </xdr:from>
    <xdr:to>
      <xdr:col>10</xdr:col>
      <xdr:colOff>581025</xdr:colOff>
      <xdr:row>38</xdr:row>
      <xdr:rowOff>66675</xdr:rowOff>
    </xdr:to>
    <xdr:cxnSp macro="">
      <xdr:nvCxnSpPr>
        <xdr:cNvPr id="11" name="AutoShape 20"/>
        <xdr:cNvCxnSpPr>
          <a:cxnSpLocks noChangeShapeType="1"/>
          <a:stCxn id="7" idx="1"/>
        </xdr:cNvCxnSpPr>
      </xdr:nvCxnSpPr>
      <xdr:spPr bwMode="auto">
        <a:xfrm flipH="1">
          <a:off x="4343400" y="3742559"/>
          <a:ext cx="1247775" cy="19126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9</xdr:col>
      <xdr:colOff>388235</xdr:colOff>
      <xdr:row>42</xdr:row>
      <xdr:rowOff>123825</xdr:rowOff>
    </xdr:from>
    <xdr:to>
      <xdr:col>15</xdr:col>
      <xdr:colOff>64385</xdr:colOff>
      <xdr:row>46</xdr:row>
      <xdr:rowOff>122391</xdr:rowOff>
    </xdr:to>
    <xdr:sp macro="" textlink="">
      <xdr:nvSpPr>
        <xdr:cNvPr id="17" name="Text Box 36"/>
        <xdr:cNvSpPr txBox="1">
          <a:spLocks noChangeArrowheads="1"/>
        </xdr:cNvSpPr>
      </xdr:nvSpPr>
      <xdr:spPr bwMode="auto">
        <a:xfrm>
          <a:off x="4731635" y="4552950"/>
          <a:ext cx="3124200" cy="646266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378" tIns="45688" rIns="91378" bIns="45688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200"/>
            <a:t>Calculations: Tip use the "custom number" format to align the decimal places</a:t>
          </a:r>
        </a:p>
        <a:p>
          <a:pPr eaLnBrk="0" hangingPunct="0"/>
          <a:r>
            <a:rPr lang="en-US" sz="1200" b="1"/>
            <a:t>0.0%_);(0.0%)</a:t>
          </a:r>
        </a:p>
      </xdr:txBody>
    </xdr:sp>
    <xdr:clientData/>
  </xdr:twoCellAnchor>
  <xdr:twoCellAnchor>
    <xdr:from>
      <xdr:col>8</xdr:col>
      <xdr:colOff>219075</xdr:colOff>
      <xdr:row>44</xdr:row>
      <xdr:rowOff>123108</xdr:rowOff>
    </xdr:from>
    <xdr:to>
      <xdr:col>9</xdr:col>
      <xdr:colOff>388235</xdr:colOff>
      <xdr:row>49</xdr:row>
      <xdr:rowOff>95250</xdr:rowOff>
    </xdr:to>
    <xdr:cxnSp macro="">
      <xdr:nvCxnSpPr>
        <xdr:cNvPr id="18" name="AutoShape 37"/>
        <xdr:cNvCxnSpPr>
          <a:cxnSpLocks noChangeShapeType="1"/>
          <a:stCxn id="17" idx="1"/>
        </xdr:cNvCxnSpPr>
      </xdr:nvCxnSpPr>
      <xdr:spPr bwMode="auto">
        <a:xfrm flipH="1">
          <a:off x="3895725" y="4876083"/>
          <a:ext cx="835910" cy="78176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12</xdr:col>
      <xdr:colOff>352424</xdr:colOff>
      <xdr:row>6</xdr:row>
      <xdr:rowOff>105126</xdr:rowOff>
    </xdr:from>
    <xdr:to>
      <xdr:col>15</xdr:col>
      <xdr:colOff>447675</xdr:colOff>
      <xdr:row>12</xdr:row>
      <xdr:rowOff>6972</xdr:rowOff>
    </xdr:to>
    <xdr:grpSp>
      <xdr:nvGrpSpPr>
        <xdr:cNvPr id="12" name="Group 11"/>
        <xdr:cNvGrpSpPr/>
      </xdr:nvGrpSpPr>
      <xdr:grpSpPr>
        <a:xfrm>
          <a:off x="6781799" y="1076676"/>
          <a:ext cx="1543051" cy="873396"/>
          <a:chOff x="6781799" y="1076676"/>
          <a:chExt cx="1543051" cy="873396"/>
        </a:xfrm>
      </xdr:grpSpPr>
      <xdr:pic>
        <xdr:nvPicPr>
          <xdr:cNvPr id="19" name="Picture 18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6781799" y="1076676"/>
            <a:ext cx="1543051" cy="873396"/>
          </a:xfrm>
          <a:prstGeom prst="rect">
            <a:avLst/>
          </a:prstGeom>
          <a:noFill/>
          <a:ln w="15875">
            <a:solidFill>
              <a:srgbClr val="006600"/>
            </a:solidFill>
            <a:miter lim="800000"/>
            <a:headEnd/>
            <a:tailEnd/>
          </a:ln>
          <a:effectLst/>
        </xdr:spPr>
      </xdr:pic>
      <xdr:sp macro="" textlink="">
        <xdr:nvSpPr>
          <xdr:cNvPr id="24" name="Line 8"/>
          <xdr:cNvSpPr>
            <a:spLocks noChangeShapeType="1"/>
          </xdr:cNvSpPr>
        </xdr:nvSpPr>
        <xdr:spPr bwMode="auto">
          <a:xfrm>
            <a:off x="7610475" y="1581150"/>
            <a:ext cx="323849" cy="133349"/>
          </a:xfrm>
          <a:prstGeom prst="line">
            <a:avLst/>
          </a:prstGeom>
          <a:noFill/>
          <a:ln w="28575">
            <a:solidFill>
              <a:srgbClr val="FF0000"/>
            </a:solidFill>
            <a:round/>
            <a:headEnd/>
            <a:tailEnd type="triangle" w="lg" len="med"/>
          </a:ln>
          <a:effectLst/>
        </xdr:spPr>
        <xdr:txBody>
          <a:bodyPr wrap="square" anchor="ctr"/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190500</xdr:colOff>
      <xdr:row>81</xdr:row>
      <xdr:rowOff>0</xdr:rowOff>
    </xdr:from>
    <xdr:ext cx="1800225" cy="200025"/>
    <xdr:pic>
      <xdr:nvPicPr>
        <xdr:cNvPr id="2" name="Picture 37" descr="40%TTS LogoPMSFinal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9934575"/>
          <a:ext cx="1800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580129</xdr:colOff>
      <xdr:row>44</xdr:row>
      <xdr:rowOff>142876</xdr:rowOff>
    </xdr:from>
    <xdr:to>
      <xdr:col>13</xdr:col>
      <xdr:colOff>386454</xdr:colOff>
      <xdr:row>47</xdr:row>
      <xdr:rowOff>57146</xdr:rowOff>
    </xdr:to>
    <xdr:sp macro="" textlink="">
      <xdr:nvSpPr>
        <xdr:cNvPr id="3" name="Text Box 22"/>
        <xdr:cNvSpPr txBox="1">
          <a:spLocks noChangeArrowheads="1"/>
        </xdr:cNvSpPr>
      </xdr:nvSpPr>
      <xdr:spPr bwMode="auto">
        <a:xfrm>
          <a:off x="4923529" y="4895851"/>
          <a:ext cx="2473325" cy="400045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Flatline: </a:t>
          </a:r>
          <a:r>
            <a:rPr lang="en-US" sz="1000" b="1"/>
            <a:t>BLACK</a:t>
          </a:r>
          <a:r>
            <a:rPr lang="en-US" sz="1000"/>
            <a:t> references set equal to previous year if kept constant</a:t>
          </a:r>
        </a:p>
      </xdr:txBody>
    </xdr:sp>
    <xdr:clientData/>
  </xdr:twoCellAnchor>
  <xdr:twoCellAnchor>
    <xdr:from>
      <xdr:col>6</xdr:col>
      <xdr:colOff>400050</xdr:colOff>
      <xdr:row>44</xdr:row>
      <xdr:rowOff>142876</xdr:rowOff>
    </xdr:from>
    <xdr:to>
      <xdr:col>9</xdr:col>
      <xdr:colOff>44450</xdr:colOff>
      <xdr:row>47</xdr:row>
      <xdr:rowOff>57146</xdr:rowOff>
    </xdr:to>
    <xdr:sp macro="" textlink="">
      <xdr:nvSpPr>
        <xdr:cNvPr id="4" name="Text Box 23"/>
        <xdr:cNvSpPr txBox="1">
          <a:spLocks noChangeArrowheads="1"/>
        </xdr:cNvSpPr>
      </xdr:nvSpPr>
      <xdr:spPr bwMode="auto">
        <a:xfrm>
          <a:off x="2743200" y="4895851"/>
          <a:ext cx="1644650" cy="40004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317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Only one </a:t>
          </a:r>
          <a:r>
            <a:rPr lang="en-US" sz="1000" b="1">
              <a:solidFill>
                <a:srgbClr val="0000FF"/>
              </a:solidFill>
            </a:rPr>
            <a:t>BLUE</a:t>
          </a:r>
          <a:r>
            <a:rPr lang="en-US" sz="1000"/>
            <a:t> input cell</a:t>
          </a:r>
        </a:p>
        <a:p>
          <a:pPr eaLnBrk="0" hangingPunct="0"/>
          <a:r>
            <a:rPr lang="en-US" sz="1000"/>
            <a:t>if a constant growth rate</a:t>
          </a:r>
        </a:p>
      </xdr:txBody>
    </xdr:sp>
    <xdr:clientData/>
  </xdr:twoCellAnchor>
  <xdr:twoCellAnchor>
    <xdr:from>
      <xdr:col>7</xdr:col>
      <xdr:colOff>600075</xdr:colOff>
      <xdr:row>47</xdr:row>
      <xdr:rowOff>76200</xdr:rowOff>
    </xdr:from>
    <xdr:to>
      <xdr:col>9</xdr:col>
      <xdr:colOff>209550</xdr:colOff>
      <xdr:row>50</xdr:row>
      <xdr:rowOff>38100</xdr:rowOff>
    </xdr:to>
    <xdr:cxnSp macro="">
      <xdr:nvCxnSpPr>
        <xdr:cNvPr id="7" name="AutoShape 16"/>
        <xdr:cNvCxnSpPr>
          <a:cxnSpLocks noChangeShapeType="1"/>
        </xdr:cNvCxnSpPr>
      </xdr:nvCxnSpPr>
      <xdr:spPr bwMode="auto">
        <a:xfrm>
          <a:off x="3609975" y="5314950"/>
          <a:ext cx="942975" cy="447675"/>
        </a:xfrm>
        <a:prstGeom prst="straightConnector1">
          <a:avLst/>
        </a:prstGeom>
        <a:noFill/>
        <a:ln w="9525">
          <a:solidFill>
            <a:srgbClr val="3333FF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11</xdr:col>
      <xdr:colOff>333375</xdr:colOff>
      <xdr:row>47</xdr:row>
      <xdr:rowOff>57150</xdr:rowOff>
    </xdr:from>
    <xdr:to>
      <xdr:col>11</xdr:col>
      <xdr:colOff>523875</xdr:colOff>
      <xdr:row>50</xdr:row>
      <xdr:rowOff>0</xdr:rowOff>
    </xdr:to>
    <xdr:cxnSp macro="">
      <xdr:nvCxnSpPr>
        <xdr:cNvPr id="9" name="AutoShape 16"/>
        <xdr:cNvCxnSpPr>
          <a:cxnSpLocks noChangeShapeType="1"/>
        </xdr:cNvCxnSpPr>
      </xdr:nvCxnSpPr>
      <xdr:spPr bwMode="auto">
        <a:xfrm>
          <a:off x="6010275" y="5295900"/>
          <a:ext cx="190500" cy="4286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4</xdr:col>
      <xdr:colOff>344919</xdr:colOff>
      <xdr:row>40</xdr:row>
      <xdr:rowOff>20432</xdr:rowOff>
    </xdr:from>
    <xdr:to>
      <xdr:col>7</xdr:col>
      <xdr:colOff>628650</xdr:colOff>
      <xdr:row>53</xdr:row>
      <xdr:rowOff>76200</xdr:rowOff>
    </xdr:to>
    <xdr:cxnSp macro="">
      <xdr:nvCxnSpPr>
        <xdr:cNvPr id="14" name="AutoShape 4"/>
        <xdr:cNvCxnSpPr>
          <a:cxnSpLocks noChangeShapeType="1"/>
          <a:stCxn id="15" idx="2"/>
        </xdr:cNvCxnSpPr>
      </xdr:nvCxnSpPr>
      <xdr:spPr bwMode="auto">
        <a:xfrm>
          <a:off x="1354569" y="7288007"/>
          <a:ext cx="2283981" cy="2160793"/>
        </a:xfrm>
        <a:prstGeom prst="straightConnector1">
          <a:avLst/>
        </a:prstGeom>
        <a:noFill/>
        <a:ln w="9525">
          <a:solidFill>
            <a:schemeClr val="tx1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2</xdr:col>
      <xdr:colOff>97269</xdr:colOff>
      <xdr:row>35</xdr:row>
      <xdr:rowOff>36511</xdr:rowOff>
    </xdr:from>
    <xdr:to>
      <xdr:col>6</xdr:col>
      <xdr:colOff>40119</xdr:colOff>
      <xdr:row>40</xdr:row>
      <xdr:rowOff>20432</xdr:rowOff>
    </xdr:to>
    <xdr:sp macro="" textlink="">
      <xdr:nvSpPr>
        <xdr:cNvPr id="15" name="Text Box 5"/>
        <xdr:cNvSpPr txBox="1">
          <a:spLocks noChangeArrowheads="1"/>
        </xdr:cNvSpPr>
      </xdr:nvSpPr>
      <xdr:spPr bwMode="auto">
        <a:xfrm>
          <a:off x="325869" y="6580186"/>
          <a:ext cx="2057400" cy="707821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lIns="91378" tIns="45688" rIns="91378" bIns="45688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algn="l" eaLnBrk="0" hangingPunct="0"/>
          <a:r>
            <a:rPr lang="en-US" sz="1000"/>
            <a:t>Be efficient… use the </a:t>
          </a:r>
          <a:r>
            <a:rPr lang="en-US" sz="1000">
              <a:solidFill>
                <a:srgbClr val="FF0000"/>
              </a:solidFill>
            </a:rPr>
            <a:t>historical</a:t>
          </a:r>
          <a:r>
            <a:rPr lang="en-US" sz="1000"/>
            <a:t> years formulas for Gross Profit,  EBITDA &amp; EBITDA Margin and fill it right!  Ctrl+R</a:t>
          </a:r>
        </a:p>
      </xdr:txBody>
    </xdr:sp>
    <xdr:clientData/>
  </xdr:twoCellAnchor>
  <xdr:twoCellAnchor>
    <xdr:from>
      <xdr:col>4</xdr:col>
      <xdr:colOff>344919</xdr:colOff>
      <xdr:row>33</xdr:row>
      <xdr:rowOff>76200</xdr:rowOff>
    </xdr:from>
    <xdr:to>
      <xdr:col>8</xdr:col>
      <xdr:colOff>0</xdr:colOff>
      <xdr:row>35</xdr:row>
      <xdr:rowOff>36511</xdr:rowOff>
    </xdr:to>
    <xdr:cxnSp macro="">
      <xdr:nvCxnSpPr>
        <xdr:cNvPr id="16" name="AutoShape 7"/>
        <xdr:cNvCxnSpPr>
          <a:cxnSpLocks noChangeShapeType="1"/>
          <a:stCxn id="15" idx="0"/>
        </xdr:cNvCxnSpPr>
      </xdr:nvCxnSpPr>
      <xdr:spPr bwMode="auto">
        <a:xfrm flipV="1">
          <a:off x="1354569" y="6296025"/>
          <a:ext cx="2322081" cy="284161"/>
        </a:xfrm>
        <a:prstGeom prst="straightConnector1">
          <a:avLst/>
        </a:prstGeom>
        <a:noFill/>
        <a:ln w="9525">
          <a:solidFill>
            <a:schemeClr val="tx1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4</xdr:col>
      <xdr:colOff>344919</xdr:colOff>
      <xdr:row>30</xdr:row>
      <xdr:rowOff>76200</xdr:rowOff>
    </xdr:from>
    <xdr:to>
      <xdr:col>7</xdr:col>
      <xdr:colOff>647700</xdr:colOff>
      <xdr:row>35</xdr:row>
      <xdr:rowOff>36511</xdr:rowOff>
    </xdr:to>
    <xdr:cxnSp macro="">
      <xdr:nvCxnSpPr>
        <xdr:cNvPr id="17" name="AutoShape 30"/>
        <xdr:cNvCxnSpPr>
          <a:cxnSpLocks noChangeShapeType="1"/>
          <a:stCxn id="15" idx="0"/>
        </xdr:cNvCxnSpPr>
      </xdr:nvCxnSpPr>
      <xdr:spPr bwMode="auto">
        <a:xfrm flipV="1">
          <a:off x="1354569" y="5895975"/>
          <a:ext cx="2303031" cy="684211"/>
        </a:xfrm>
        <a:prstGeom prst="straightConnector1">
          <a:avLst/>
        </a:prstGeom>
        <a:noFill/>
        <a:ln w="9525">
          <a:solidFill>
            <a:schemeClr val="tx1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7</xdr:col>
      <xdr:colOff>276225</xdr:colOff>
      <xdr:row>22</xdr:row>
      <xdr:rowOff>133350</xdr:rowOff>
    </xdr:from>
    <xdr:to>
      <xdr:col>8</xdr:col>
      <xdr:colOff>312737</xdr:colOff>
      <xdr:row>24</xdr:row>
      <xdr:rowOff>60374</xdr:rowOff>
    </xdr:to>
    <xdr:sp macro="" textlink="">
      <xdr:nvSpPr>
        <xdr:cNvPr id="19" name="Rectangle 18"/>
        <xdr:cNvSpPr>
          <a:spLocks noChangeArrowheads="1"/>
        </xdr:cNvSpPr>
      </xdr:nvSpPr>
      <xdr:spPr bwMode="auto">
        <a:xfrm>
          <a:off x="3286125" y="1495425"/>
          <a:ext cx="703262" cy="250874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  <a:miter lim="800000"/>
          <a:headEnd/>
          <a:tailEnd type="none" w="lg" len="lg"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Forecasts</a:t>
          </a:r>
        </a:p>
      </xdr:txBody>
    </xdr:sp>
    <xdr:clientData/>
  </xdr:twoCellAnchor>
  <xdr:twoCellAnchor>
    <xdr:from>
      <xdr:col>8</xdr:col>
      <xdr:colOff>323850</xdr:colOff>
      <xdr:row>23</xdr:row>
      <xdr:rowOff>95250</xdr:rowOff>
    </xdr:from>
    <xdr:to>
      <xdr:col>9</xdr:col>
      <xdr:colOff>219075</xdr:colOff>
      <xdr:row>27</xdr:row>
      <xdr:rowOff>152400</xdr:rowOff>
    </xdr:to>
    <xdr:cxnSp macro="">
      <xdr:nvCxnSpPr>
        <xdr:cNvPr id="20" name="AutoShape 16"/>
        <xdr:cNvCxnSpPr>
          <a:cxnSpLocks noChangeShapeType="1"/>
        </xdr:cNvCxnSpPr>
      </xdr:nvCxnSpPr>
      <xdr:spPr bwMode="auto">
        <a:xfrm>
          <a:off x="4000500" y="1619250"/>
          <a:ext cx="561975" cy="7048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8</xdr:col>
      <xdr:colOff>312737</xdr:colOff>
      <xdr:row>23</xdr:row>
      <xdr:rowOff>96862</xdr:rowOff>
    </xdr:from>
    <xdr:to>
      <xdr:col>9</xdr:col>
      <xdr:colOff>209550</xdr:colOff>
      <xdr:row>32</xdr:row>
      <xdr:rowOff>0</xdr:rowOff>
    </xdr:to>
    <xdr:cxnSp macro="">
      <xdr:nvCxnSpPr>
        <xdr:cNvPr id="22" name="AutoShape 16"/>
        <xdr:cNvCxnSpPr>
          <a:cxnSpLocks noChangeShapeType="1"/>
          <a:stCxn id="19" idx="3"/>
        </xdr:cNvCxnSpPr>
      </xdr:nvCxnSpPr>
      <xdr:spPr bwMode="auto">
        <a:xfrm>
          <a:off x="3989387" y="1620862"/>
          <a:ext cx="563563" cy="127473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17</xdr:col>
      <xdr:colOff>28575</xdr:colOff>
      <xdr:row>47</xdr:row>
      <xdr:rowOff>142875</xdr:rowOff>
    </xdr:from>
    <xdr:to>
      <xdr:col>20</xdr:col>
      <xdr:colOff>161925</xdr:colOff>
      <xdr:row>49</xdr:row>
      <xdr:rowOff>69899</xdr:rowOff>
    </xdr:to>
    <xdr:sp macro="" textlink="">
      <xdr:nvSpPr>
        <xdr:cNvPr id="21" name="Text Box 7"/>
        <xdr:cNvSpPr txBox="1">
          <a:spLocks noChangeArrowheads="1"/>
        </xdr:cNvSpPr>
      </xdr:nvSpPr>
      <xdr:spPr bwMode="auto">
        <a:xfrm>
          <a:off x="9210675" y="8543925"/>
          <a:ext cx="2133600" cy="250874"/>
        </a:xfrm>
        <a:prstGeom prst="rect">
          <a:avLst/>
        </a:prstGeom>
        <a:solidFill>
          <a:schemeClr val="bg1">
            <a:lumMod val="95000"/>
          </a:schemeClr>
        </a:solidFill>
        <a:ln w="3175" algn="ctr">
          <a:solidFill>
            <a:srgbClr val="FF0000"/>
          </a:solidFill>
          <a:miter lim="800000"/>
          <a:headEnd/>
          <a:tailEnd type="none" w="lg" len="lg"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Add “steps” to your assumptions!</a:t>
          </a:r>
        </a:p>
      </xdr:txBody>
    </xdr:sp>
    <xdr:clientData/>
  </xdr:twoCellAnchor>
  <xdr:twoCellAnchor>
    <xdr:from>
      <xdr:col>17</xdr:col>
      <xdr:colOff>657225</xdr:colOff>
      <xdr:row>54</xdr:row>
      <xdr:rowOff>148411</xdr:rowOff>
    </xdr:from>
    <xdr:to>
      <xdr:col>20</xdr:col>
      <xdr:colOff>104775</xdr:colOff>
      <xdr:row>56</xdr:row>
      <xdr:rowOff>64306</xdr:rowOff>
    </xdr:to>
    <xdr:sp macro="" textlink="">
      <xdr:nvSpPr>
        <xdr:cNvPr id="24" name="Text Box 10"/>
        <xdr:cNvSpPr txBox="1">
          <a:spLocks noChangeArrowheads="1"/>
        </xdr:cNvSpPr>
      </xdr:nvSpPr>
      <xdr:spPr bwMode="auto">
        <a:xfrm>
          <a:off x="9839325" y="9682936"/>
          <a:ext cx="1447800" cy="23974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317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Driver/Inputs</a:t>
          </a:r>
          <a:r>
            <a:rPr lang="en-US" sz="1000" baseline="0"/>
            <a:t> </a:t>
          </a:r>
          <a:r>
            <a:rPr lang="en-US" sz="1000"/>
            <a:t>are </a:t>
          </a:r>
          <a:r>
            <a:rPr lang="en-US" sz="1000" b="1">
              <a:solidFill>
                <a:srgbClr val="0000FF"/>
              </a:solidFill>
            </a:rPr>
            <a:t>BLUE</a:t>
          </a:r>
        </a:p>
      </xdr:txBody>
    </xdr:sp>
    <xdr:clientData/>
  </xdr:twoCellAnchor>
  <xdr:twoCellAnchor>
    <xdr:from>
      <xdr:col>16</xdr:col>
      <xdr:colOff>704851</xdr:colOff>
      <xdr:row>52</xdr:row>
      <xdr:rowOff>0</xdr:rowOff>
    </xdr:from>
    <xdr:to>
      <xdr:col>17</xdr:col>
      <xdr:colOff>657225</xdr:colOff>
      <xdr:row>55</xdr:row>
      <xdr:rowOff>106359</xdr:rowOff>
    </xdr:to>
    <xdr:cxnSp macro="">
      <xdr:nvCxnSpPr>
        <xdr:cNvPr id="29" name="AutoShape 7"/>
        <xdr:cNvCxnSpPr>
          <a:cxnSpLocks noChangeShapeType="1"/>
          <a:stCxn id="24" idx="1"/>
        </xdr:cNvCxnSpPr>
      </xdr:nvCxnSpPr>
      <xdr:spPr bwMode="auto">
        <a:xfrm flipH="1" flipV="1">
          <a:off x="9163051" y="9210675"/>
          <a:ext cx="676274" cy="592134"/>
        </a:xfrm>
        <a:prstGeom prst="straightConnector1">
          <a:avLst/>
        </a:prstGeom>
        <a:noFill/>
        <a:ln w="9525">
          <a:solidFill>
            <a:srgbClr val="3333FF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14</xdr:col>
      <xdr:colOff>28575</xdr:colOff>
      <xdr:row>48</xdr:row>
      <xdr:rowOff>106387</xdr:rowOff>
    </xdr:from>
    <xdr:to>
      <xdr:col>17</xdr:col>
      <xdr:colOff>28575</xdr:colOff>
      <xdr:row>51</xdr:row>
      <xdr:rowOff>95250</xdr:rowOff>
    </xdr:to>
    <xdr:cxnSp macro="">
      <xdr:nvCxnSpPr>
        <xdr:cNvPr id="30" name="AutoShape 7"/>
        <xdr:cNvCxnSpPr>
          <a:cxnSpLocks noChangeShapeType="1"/>
          <a:stCxn id="21" idx="1"/>
        </xdr:cNvCxnSpPr>
      </xdr:nvCxnSpPr>
      <xdr:spPr bwMode="auto">
        <a:xfrm flipH="1">
          <a:off x="7705725" y="8669362"/>
          <a:ext cx="1504950" cy="474638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190500</xdr:colOff>
      <xdr:row>81</xdr:row>
      <xdr:rowOff>0</xdr:rowOff>
    </xdr:from>
    <xdr:ext cx="1800225" cy="200025"/>
    <xdr:pic>
      <xdr:nvPicPr>
        <xdr:cNvPr id="2" name="Picture 37" descr="40%TTS LogoPMSFinal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12125325"/>
          <a:ext cx="1800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599179</xdr:colOff>
      <xdr:row>61</xdr:row>
      <xdr:rowOff>19050</xdr:rowOff>
    </xdr:from>
    <xdr:to>
      <xdr:col>13</xdr:col>
      <xdr:colOff>405504</xdr:colOff>
      <xdr:row>63</xdr:row>
      <xdr:rowOff>95245</xdr:rowOff>
    </xdr:to>
    <xdr:sp macro="" textlink="">
      <xdr:nvSpPr>
        <xdr:cNvPr id="4" name="Text Box 22"/>
        <xdr:cNvSpPr txBox="1">
          <a:spLocks noChangeArrowheads="1"/>
        </xdr:cNvSpPr>
      </xdr:nvSpPr>
      <xdr:spPr bwMode="auto">
        <a:xfrm>
          <a:off x="4990204" y="9715500"/>
          <a:ext cx="2473325" cy="400045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Flatline: </a:t>
          </a:r>
          <a:r>
            <a:rPr lang="en-US" sz="1000" b="1"/>
            <a:t>BLACK</a:t>
          </a:r>
          <a:r>
            <a:rPr lang="en-US" sz="1000"/>
            <a:t> references set equal to previous year if kept constant</a:t>
          </a:r>
        </a:p>
      </xdr:txBody>
    </xdr:sp>
    <xdr:clientData/>
  </xdr:twoCellAnchor>
  <xdr:twoCellAnchor>
    <xdr:from>
      <xdr:col>6</xdr:col>
      <xdr:colOff>381000</xdr:colOff>
      <xdr:row>61</xdr:row>
      <xdr:rowOff>19050</xdr:rowOff>
    </xdr:from>
    <xdr:to>
      <xdr:col>9</xdr:col>
      <xdr:colOff>25400</xdr:colOff>
      <xdr:row>63</xdr:row>
      <xdr:rowOff>95245</xdr:rowOff>
    </xdr:to>
    <xdr:sp macro="" textlink="">
      <xdr:nvSpPr>
        <xdr:cNvPr id="5" name="Text Box 23"/>
        <xdr:cNvSpPr txBox="1">
          <a:spLocks noChangeArrowheads="1"/>
        </xdr:cNvSpPr>
      </xdr:nvSpPr>
      <xdr:spPr bwMode="auto">
        <a:xfrm>
          <a:off x="2771775" y="9715500"/>
          <a:ext cx="1644650" cy="40004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317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Only one </a:t>
          </a:r>
          <a:r>
            <a:rPr lang="en-US" sz="1000" b="1">
              <a:solidFill>
                <a:srgbClr val="0000FF"/>
              </a:solidFill>
            </a:rPr>
            <a:t>BLUE</a:t>
          </a:r>
          <a:r>
            <a:rPr lang="en-US" sz="1000"/>
            <a:t> input cell</a:t>
          </a:r>
        </a:p>
        <a:p>
          <a:pPr eaLnBrk="0" hangingPunct="0"/>
          <a:r>
            <a:rPr lang="en-US" sz="1000"/>
            <a:t>if a constant growth rate</a:t>
          </a:r>
        </a:p>
      </xdr:txBody>
    </xdr:sp>
    <xdr:clientData/>
  </xdr:twoCellAnchor>
  <xdr:twoCellAnchor>
    <xdr:from>
      <xdr:col>7</xdr:col>
      <xdr:colOff>536575</xdr:colOff>
      <xdr:row>56</xdr:row>
      <xdr:rowOff>66676</xdr:rowOff>
    </xdr:from>
    <xdr:to>
      <xdr:col>9</xdr:col>
      <xdr:colOff>9525</xdr:colOff>
      <xdr:row>61</xdr:row>
      <xdr:rowOff>19050</xdr:rowOff>
    </xdr:to>
    <xdr:cxnSp macro="">
      <xdr:nvCxnSpPr>
        <xdr:cNvPr id="6" name="AutoShape 16"/>
        <xdr:cNvCxnSpPr>
          <a:cxnSpLocks noChangeShapeType="1"/>
          <a:stCxn id="5" idx="0"/>
        </xdr:cNvCxnSpPr>
      </xdr:nvCxnSpPr>
      <xdr:spPr bwMode="auto">
        <a:xfrm flipV="1">
          <a:off x="3594100" y="8953501"/>
          <a:ext cx="806450" cy="761999"/>
        </a:xfrm>
        <a:prstGeom prst="straightConnector1">
          <a:avLst/>
        </a:prstGeom>
        <a:noFill/>
        <a:ln w="9525">
          <a:solidFill>
            <a:srgbClr val="3333FF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11</xdr:col>
      <xdr:colOff>438150</xdr:colOff>
      <xdr:row>58</xdr:row>
      <xdr:rowOff>133351</xdr:rowOff>
    </xdr:from>
    <xdr:to>
      <xdr:col>11</xdr:col>
      <xdr:colOff>502342</xdr:colOff>
      <xdr:row>61</xdr:row>
      <xdr:rowOff>19050</xdr:rowOff>
    </xdr:to>
    <xdr:cxnSp macro="">
      <xdr:nvCxnSpPr>
        <xdr:cNvPr id="7" name="AutoShape 16"/>
        <xdr:cNvCxnSpPr>
          <a:cxnSpLocks noChangeShapeType="1"/>
          <a:stCxn id="4" idx="0"/>
        </xdr:cNvCxnSpPr>
      </xdr:nvCxnSpPr>
      <xdr:spPr bwMode="auto">
        <a:xfrm flipH="1" flipV="1">
          <a:off x="6162675" y="9344026"/>
          <a:ext cx="64192" cy="37147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17</xdr:col>
      <xdr:colOff>581025</xdr:colOff>
      <xdr:row>34</xdr:row>
      <xdr:rowOff>85725</xdr:rowOff>
    </xdr:from>
    <xdr:to>
      <xdr:col>18</xdr:col>
      <xdr:colOff>617537</xdr:colOff>
      <xdr:row>36</xdr:row>
      <xdr:rowOff>12749</xdr:rowOff>
    </xdr:to>
    <xdr:sp macro="" textlink="">
      <xdr:nvSpPr>
        <xdr:cNvPr id="8" name="Rectangle 7"/>
        <xdr:cNvSpPr>
          <a:spLocks noChangeArrowheads="1"/>
        </xdr:cNvSpPr>
      </xdr:nvSpPr>
      <xdr:spPr bwMode="auto">
        <a:xfrm>
          <a:off x="9810750" y="5495925"/>
          <a:ext cx="703262" cy="250874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  <a:miter lim="800000"/>
          <a:headEnd/>
          <a:tailEnd type="none" w="lg" len="lg"/>
        </a:ln>
        <a:effectLst/>
      </xdr:spPr>
      <xdr:txBody>
        <a:bodyPr wrap="square" lIns="45688" tIns="45688" rIns="45688" bIns="45688" anchor="ctr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Forecasts</a:t>
          </a:r>
        </a:p>
      </xdr:txBody>
    </xdr:sp>
    <xdr:clientData/>
  </xdr:twoCellAnchor>
  <xdr:twoCellAnchor>
    <xdr:from>
      <xdr:col>14</xdr:col>
      <xdr:colOff>28576</xdr:colOff>
      <xdr:row>35</xdr:row>
      <xdr:rowOff>49237</xdr:rowOff>
    </xdr:from>
    <xdr:to>
      <xdr:col>17</xdr:col>
      <xdr:colOff>581025</xdr:colOff>
      <xdr:row>42</xdr:row>
      <xdr:rowOff>38100</xdr:rowOff>
    </xdr:to>
    <xdr:cxnSp macro="">
      <xdr:nvCxnSpPr>
        <xdr:cNvPr id="9" name="AutoShape 16"/>
        <xdr:cNvCxnSpPr>
          <a:cxnSpLocks noChangeShapeType="1"/>
          <a:stCxn id="8" idx="1"/>
        </xdr:cNvCxnSpPr>
      </xdr:nvCxnSpPr>
      <xdr:spPr bwMode="auto">
        <a:xfrm flipH="1">
          <a:off x="7753351" y="5621362"/>
          <a:ext cx="2057399" cy="103661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14</xdr:col>
      <xdr:colOff>0</xdr:colOff>
      <xdr:row>35</xdr:row>
      <xdr:rowOff>47625</xdr:rowOff>
    </xdr:from>
    <xdr:to>
      <xdr:col>17</xdr:col>
      <xdr:colOff>581025</xdr:colOff>
      <xdr:row>35</xdr:row>
      <xdr:rowOff>49237</xdr:rowOff>
    </xdr:to>
    <xdr:cxnSp macro="">
      <xdr:nvCxnSpPr>
        <xdr:cNvPr id="10" name="AutoShape 11"/>
        <xdr:cNvCxnSpPr>
          <a:cxnSpLocks noChangeShapeType="1"/>
          <a:stCxn id="8" idx="1"/>
        </xdr:cNvCxnSpPr>
      </xdr:nvCxnSpPr>
      <xdr:spPr bwMode="auto">
        <a:xfrm flipH="1" flipV="1">
          <a:off x="7724775" y="5619750"/>
          <a:ext cx="2085975" cy="161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6</xdr:col>
      <xdr:colOff>190500</xdr:colOff>
      <xdr:row>33</xdr:row>
      <xdr:rowOff>38100</xdr:rowOff>
    </xdr:from>
    <xdr:to>
      <xdr:col>7</xdr:col>
      <xdr:colOff>657225</xdr:colOff>
      <xdr:row>43</xdr:row>
      <xdr:rowOff>152400</xdr:rowOff>
    </xdr:to>
    <xdr:cxnSp macro="">
      <xdr:nvCxnSpPr>
        <xdr:cNvPr id="11" name="AutoShape 4"/>
        <xdr:cNvCxnSpPr>
          <a:cxnSpLocks noChangeShapeType="1"/>
          <a:stCxn id="12" idx="2"/>
        </xdr:cNvCxnSpPr>
      </xdr:nvCxnSpPr>
      <xdr:spPr bwMode="auto">
        <a:xfrm>
          <a:off x="2619375" y="5124450"/>
          <a:ext cx="1133475" cy="1647825"/>
        </a:xfrm>
        <a:prstGeom prst="straightConnector1">
          <a:avLst/>
        </a:prstGeom>
        <a:noFill/>
        <a:ln w="9525">
          <a:solidFill>
            <a:schemeClr val="tx1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4</xdr:col>
      <xdr:colOff>495300</xdr:colOff>
      <xdr:row>29</xdr:row>
      <xdr:rowOff>103186</xdr:rowOff>
    </xdr:from>
    <xdr:to>
      <xdr:col>7</xdr:col>
      <xdr:colOff>552450</xdr:colOff>
      <xdr:row>33</xdr:row>
      <xdr:rowOff>38100</xdr:rowOff>
    </xdr:to>
    <xdr:sp macro="" textlink="">
      <xdr:nvSpPr>
        <xdr:cNvPr id="12" name="Text Box 5"/>
        <xdr:cNvSpPr txBox="1">
          <a:spLocks noChangeArrowheads="1"/>
        </xdr:cNvSpPr>
      </xdr:nvSpPr>
      <xdr:spPr bwMode="auto">
        <a:xfrm>
          <a:off x="1552575" y="4789486"/>
          <a:ext cx="2057400" cy="496889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lIns="91378" tIns="45688" rIns="91378" bIns="45688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algn="l" eaLnBrk="0" hangingPunct="0"/>
          <a:r>
            <a:rPr lang="en-US" sz="1000"/>
            <a:t>Be efficient… use the </a:t>
          </a:r>
          <a:r>
            <a:rPr lang="en-US" sz="1000">
              <a:solidFill>
                <a:srgbClr val="FF0000"/>
              </a:solidFill>
            </a:rPr>
            <a:t>historical</a:t>
          </a:r>
          <a:r>
            <a:rPr lang="en-US" sz="1000"/>
            <a:t> years formulas</a:t>
          </a:r>
          <a:r>
            <a:rPr lang="en-US" sz="1000" baseline="0"/>
            <a:t> </a:t>
          </a:r>
          <a:r>
            <a:rPr lang="en-US" sz="1000"/>
            <a:t>and fill it right!  Ctrl+R</a:t>
          </a:r>
        </a:p>
      </xdr:txBody>
    </xdr:sp>
    <xdr:clientData/>
  </xdr:twoCellAnchor>
  <xdr:twoCellAnchor>
    <xdr:from>
      <xdr:col>6</xdr:col>
      <xdr:colOff>190500</xdr:colOff>
      <xdr:row>33</xdr:row>
      <xdr:rowOff>38100</xdr:rowOff>
    </xdr:from>
    <xdr:to>
      <xdr:col>8</xdr:col>
      <xdr:colOff>9525</xdr:colOff>
      <xdr:row>36</xdr:row>
      <xdr:rowOff>28575</xdr:rowOff>
    </xdr:to>
    <xdr:cxnSp macro="">
      <xdr:nvCxnSpPr>
        <xdr:cNvPr id="13" name="AutoShape 30"/>
        <xdr:cNvCxnSpPr>
          <a:cxnSpLocks noChangeShapeType="1"/>
          <a:stCxn id="12" idx="2"/>
        </xdr:cNvCxnSpPr>
      </xdr:nvCxnSpPr>
      <xdr:spPr bwMode="auto">
        <a:xfrm>
          <a:off x="2619375" y="5124450"/>
          <a:ext cx="1152525" cy="476250"/>
        </a:xfrm>
        <a:prstGeom prst="straightConnector1">
          <a:avLst/>
        </a:prstGeom>
        <a:noFill/>
        <a:ln w="9525">
          <a:solidFill>
            <a:schemeClr val="tx1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6</xdr:col>
      <xdr:colOff>133350</xdr:colOff>
      <xdr:row>27</xdr:row>
      <xdr:rowOff>85726</xdr:rowOff>
    </xdr:from>
    <xdr:to>
      <xdr:col>8</xdr:col>
      <xdr:colOff>628650</xdr:colOff>
      <xdr:row>27</xdr:row>
      <xdr:rowOff>85726</xdr:rowOff>
    </xdr:to>
    <xdr:sp macro="" textlink="">
      <xdr:nvSpPr>
        <xdr:cNvPr id="14" name="Line 45"/>
        <xdr:cNvSpPr>
          <a:spLocks noChangeShapeType="1"/>
        </xdr:cNvSpPr>
      </xdr:nvSpPr>
      <xdr:spPr bwMode="auto">
        <a:xfrm flipV="1">
          <a:off x="2524125" y="4448176"/>
          <a:ext cx="1828800" cy="0"/>
        </a:xfrm>
        <a:prstGeom prst="line">
          <a:avLst/>
        </a:prstGeom>
        <a:noFill/>
        <a:ln w="3175">
          <a:solidFill>
            <a:schemeClr val="tx1"/>
          </a:solidFill>
          <a:round/>
          <a:headEnd/>
          <a:tailEnd type="triangle" w="med" len="sm"/>
        </a:ln>
        <a:effectLst/>
      </xdr:spPr>
      <xdr:txBody>
        <a:bodyPr wrap="square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76200</xdr:colOff>
      <xdr:row>24</xdr:row>
      <xdr:rowOff>38100</xdr:rowOff>
    </xdr:from>
    <xdr:to>
      <xdr:col>6</xdr:col>
      <xdr:colOff>209550</xdr:colOff>
      <xdr:row>27</xdr:row>
      <xdr:rowOff>106364</xdr:rowOff>
    </xdr:to>
    <xdr:sp macro="" textlink="">
      <xdr:nvSpPr>
        <xdr:cNvPr id="15" name="Text Box 46"/>
        <xdr:cNvSpPr txBox="1">
          <a:spLocks noChangeArrowheads="1"/>
        </xdr:cNvSpPr>
      </xdr:nvSpPr>
      <xdr:spPr bwMode="auto">
        <a:xfrm>
          <a:off x="466725" y="3914775"/>
          <a:ext cx="2133600" cy="554039"/>
        </a:xfrm>
        <a:prstGeom prst="rect">
          <a:avLst/>
        </a:prstGeom>
        <a:solidFill>
          <a:schemeClr val="bg1">
            <a:lumMod val="95000"/>
          </a:schemeClr>
        </a:solidFill>
        <a:ln w="3175" algn="ctr">
          <a:solidFill>
            <a:schemeClr val="tx1"/>
          </a:solidFill>
          <a:miter lim="800000"/>
          <a:headEnd/>
          <a:tailEnd type="none" w="lg" len="lg"/>
        </a:ln>
        <a:effectLst/>
      </xdr:spPr>
      <xdr:txBody>
        <a:bodyPr wrap="square" lIns="45720" rIns="45720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Right border on the last historical year as a “divider”. Make this the </a:t>
          </a:r>
          <a:r>
            <a:rPr lang="en-US" sz="1000" b="1"/>
            <a:t>LAST</a:t>
          </a:r>
          <a:r>
            <a:rPr lang="en-US" sz="1000"/>
            <a:t> thing you do on the schedule!</a:t>
          </a:r>
        </a:p>
      </xdr:txBody>
    </xdr:sp>
    <xdr:clientData/>
  </xdr:twoCellAnchor>
  <xdr:twoCellAnchor>
    <xdr:from>
      <xdr:col>16</xdr:col>
      <xdr:colOff>290209</xdr:colOff>
      <xdr:row>24</xdr:row>
      <xdr:rowOff>19050</xdr:rowOff>
    </xdr:from>
    <xdr:to>
      <xdr:col>18</xdr:col>
      <xdr:colOff>118759</xdr:colOff>
      <xdr:row>26</xdr:row>
      <xdr:rowOff>95245</xdr:rowOff>
    </xdr:to>
    <xdr:sp macro="" textlink="">
      <xdr:nvSpPr>
        <xdr:cNvPr id="16" name="Rectangle 15"/>
        <xdr:cNvSpPr>
          <a:spLocks noChangeArrowheads="1"/>
        </xdr:cNvSpPr>
      </xdr:nvSpPr>
      <xdr:spPr bwMode="auto">
        <a:xfrm>
          <a:off x="8796034" y="3895725"/>
          <a:ext cx="1219200" cy="400045"/>
        </a:xfrm>
        <a:prstGeom prst="rect">
          <a:avLst/>
        </a:prstGeom>
        <a:solidFill>
          <a:schemeClr val="bg1">
            <a:lumMod val="95000"/>
          </a:schemeClr>
        </a:solidFill>
        <a:ln w="3175" algn="ctr">
          <a:solidFill>
            <a:schemeClr val="tx1"/>
          </a:solidFill>
          <a:miter lim="800000"/>
          <a:headEnd/>
          <a:tailEnd type="none" w="lg" len="lg"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Calculate the </a:t>
          </a:r>
        </a:p>
        <a:p>
          <a:pPr eaLnBrk="0" hangingPunct="0"/>
          <a:r>
            <a:rPr lang="en-US" sz="1000"/>
            <a:t>relevant CAGRs</a:t>
          </a:r>
        </a:p>
      </xdr:txBody>
    </xdr:sp>
    <xdr:clientData/>
  </xdr:twoCellAnchor>
  <xdr:twoCellAnchor>
    <xdr:from>
      <xdr:col>16</xdr:col>
      <xdr:colOff>19051</xdr:colOff>
      <xdr:row>26</xdr:row>
      <xdr:rowOff>95245</xdr:rowOff>
    </xdr:from>
    <xdr:to>
      <xdr:col>17</xdr:col>
      <xdr:colOff>175909</xdr:colOff>
      <xdr:row>28</xdr:row>
      <xdr:rowOff>62720</xdr:rowOff>
    </xdr:to>
    <xdr:cxnSp macro="">
      <xdr:nvCxnSpPr>
        <xdr:cNvPr id="17" name="AutoShape 61"/>
        <xdr:cNvCxnSpPr>
          <a:cxnSpLocks noChangeShapeType="1"/>
          <a:stCxn id="16" idx="2"/>
        </xdr:cNvCxnSpPr>
      </xdr:nvCxnSpPr>
      <xdr:spPr bwMode="auto">
        <a:xfrm flipH="1">
          <a:off x="8524876" y="4295770"/>
          <a:ext cx="880758" cy="291325"/>
        </a:xfrm>
        <a:prstGeom prst="straightConnector1">
          <a:avLst/>
        </a:prstGeom>
        <a:noFill/>
        <a:ln w="3175">
          <a:solidFill>
            <a:schemeClr val="tx1"/>
          </a:solidFill>
          <a:round/>
          <a:headEnd/>
          <a:tailEnd type="triangle" w="med" len="sm"/>
        </a:ln>
        <a:effectLst/>
      </xdr:spPr>
    </xdr:cxnSp>
    <xdr:clientData/>
  </xdr:twoCellAnchor>
  <xdr:twoCellAnchor>
    <xdr:from>
      <xdr:col>6</xdr:col>
      <xdr:colOff>190500</xdr:colOff>
      <xdr:row>33</xdr:row>
      <xdr:rowOff>38100</xdr:rowOff>
    </xdr:from>
    <xdr:to>
      <xdr:col>8</xdr:col>
      <xdr:colOff>19050</xdr:colOff>
      <xdr:row>40</xdr:row>
      <xdr:rowOff>19050</xdr:rowOff>
    </xdr:to>
    <xdr:cxnSp macro="">
      <xdr:nvCxnSpPr>
        <xdr:cNvPr id="18" name="AutoShape 30"/>
        <xdr:cNvCxnSpPr>
          <a:cxnSpLocks noChangeShapeType="1"/>
          <a:stCxn id="12" idx="2"/>
        </xdr:cNvCxnSpPr>
      </xdr:nvCxnSpPr>
      <xdr:spPr bwMode="auto">
        <a:xfrm>
          <a:off x="2619375" y="5124450"/>
          <a:ext cx="1162050" cy="1028700"/>
        </a:xfrm>
        <a:prstGeom prst="straightConnector1">
          <a:avLst/>
        </a:prstGeom>
        <a:noFill/>
        <a:ln w="9525">
          <a:solidFill>
            <a:schemeClr val="tx1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17</xdr:col>
      <xdr:colOff>38099</xdr:colOff>
      <xdr:row>53</xdr:row>
      <xdr:rowOff>81764</xdr:rowOff>
    </xdr:from>
    <xdr:to>
      <xdr:col>21</xdr:col>
      <xdr:colOff>276224</xdr:colOff>
      <xdr:row>54</xdr:row>
      <xdr:rowOff>159584</xdr:rowOff>
    </xdr:to>
    <xdr:sp macro="" textlink="">
      <xdr:nvSpPr>
        <xdr:cNvPr id="19" name="Text Box 7"/>
        <xdr:cNvSpPr txBox="1">
          <a:spLocks noChangeArrowheads="1"/>
        </xdr:cNvSpPr>
      </xdr:nvSpPr>
      <xdr:spPr bwMode="auto">
        <a:xfrm>
          <a:off x="9305924" y="8406614"/>
          <a:ext cx="2905125" cy="239745"/>
        </a:xfrm>
        <a:prstGeom prst="rect">
          <a:avLst/>
        </a:prstGeom>
        <a:solidFill>
          <a:schemeClr val="bg1">
            <a:lumMod val="95000"/>
          </a:schemeClr>
        </a:solidFill>
        <a:ln w="3175" algn="ctr">
          <a:solidFill>
            <a:srgbClr val="FF0000"/>
          </a:solidFill>
          <a:miter lim="800000"/>
          <a:headEnd/>
          <a:tailEnd type="none" w="lg" len="lg"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Add “step” to move</a:t>
          </a:r>
          <a:r>
            <a:rPr lang="en-US" sz="1000" baseline="0"/>
            <a:t> toward "Maintenance Capex"</a:t>
          </a:r>
          <a:endParaRPr lang="en-US" sz="1000"/>
        </a:p>
      </xdr:txBody>
    </xdr:sp>
    <xdr:clientData/>
  </xdr:twoCellAnchor>
  <xdr:twoCellAnchor>
    <xdr:from>
      <xdr:col>14</xdr:col>
      <xdr:colOff>3</xdr:colOff>
      <xdr:row>54</xdr:row>
      <xdr:rowOff>39712</xdr:rowOff>
    </xdr:from>
    <xdr:to>
      <xdr:col>17</xdr:col>
      <xdr:colOff>38099</xdr:colOff>
      <xdr:row>55</xdr:row>
      <xdr:rowOff>95250</xdr:rowOff>
    </xdr:to>
    <xdr:cxnSp macro="">
      <xdr:nvCxnSpPr>
        <xdr:cNvPr id="20" name="AutoShape 7"/>
        <xdr:cNvCxnSpPr>
          <a:cxnSpLocks noChangeShapeType="1"/>
          <a:stCxn id="19" idx="1"/>
        </xdr:cNvCxnSpPr>
      </xdr:nvCxnSpPr>
      <xdr:spPr bwMode="auto">
        <a:xfrm flipH="1">
          <a:off x="7762878" y="8526487"/>
          <a:ext cx="1543046" cy="217463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190500</xdr:colOff>
      <xdr:row>81</xdr:row>
      <xdr:rowOff>0</xdr:rowOff>
    </xdr:from>
    <xdr:ext cx="1800225" cy="200025"/>
    <xdr:pic>
      <xdr:nvPicPr>
        <xdr:cNvPr id="2" name="Picture 37" descr="40%TTS LogoPMSFinal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9934575"/>
          <a:ext cx="1800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371475</xdr:colOff>
      <xdr:row>41</xdr:row>
      <xdr:rowOff>9525</xdr:rowOff>
    </xdr:from>
    <xdr:to>
      <xdr:col>7</xdr:col>
      <xdr:colOff>47625</xdr:colOff>
      <xdr:row>42</xdr:row>
      <xdr:rowOff>98474</xdr:rowOff>
    </xdr:to>
    <xdr:sp macro="" textlink="">
      <xdr:nvSpPr>
        <xdr:cNvPr id="4" name="Text Box 7"/>
        <xdr:cNvSpPr txBox="1">
          <a:spLocks noChangeArrowheads="1"/>
        </xdr:cNvSpPr>
      </xdr:nvSpPr>
      <xdr:spPr bwMode="auto">
        <a:xfrm>
          <a:off x="1428750" y="7439025"/>
          <a:ext cx="1676400" cy="250874"/>
        </a:xfrm>
        <a:prstGeom prst="rect">
          <a:avLst/>
        </a:prstGeom>
        <a:solidFill>
          <a:schemeClr val="bg1">
            <a:lumMod val="95000"/>
          </a:schemeClr>
        </a:solidFill>
        <a:ln w="3175" algn="ctr">
          <a:solidFill>
            <a:srgbClr val="FF0000"/>
          </a:solidFill>
          <a:miter lim="800000"/>
          <a:headEnd/>
          <a:tailEnd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NPV of these cash flows…</a:t>
          </a:r>
        </a:p>
      </xdr:txBody>
    </xdr:sp>
    <xdr:clientData/>
  </xdr:twoCellAnchor>
  <xdr:twoCellAnchor>
    <xdr:from>
      <xdr:col>15</xdr:col>
      <xdr:colOff>9519</xdr:colOff>
      <xdr:row>41</xdr:row>
      <xdr:rowOff>72239</xdr:rowOff>
    </xdr:from>
    <xdr:to>
      <xdr:col>17</xdr:col>
      <xdr:colOff>428625</xdr:colOff>
      <xdr:row>42</xdr:row>
      <xdr:rowOff>150059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>
          <a:off x="7848594" y="7501739"/>
          <a:ext cx="1809756" cy="239745"/>
        </a:xfrm>
        <a:prstGeom prst="rect">
          <a:avLst/>
        </a:prstGeom>
        <a:solidFill>
          <a:schemeClr val="bg1">
            <a:lumMod val="95000"/>
          </a:schemeClr>
        </a:solidFill>
        <a:ln w="3175" algn="ctr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Terminal Year Unlevered FCF</a:t>
          </a:r>
        </a:p>
      </xdr:txBody>
    </xdr:sp>
    <xdr:clientData/>
  </xdr:twoCellAnchor>
  <xdr:twoCellAnchor>
    <xdr:from>
      <xdr:col>3</xdr:col>
      <xdr:colOff>484185</xdr:colOff>
      <xdr:row>57</xdr:row>
      <xdr:rowOff>117437</xdr:rowOff>
    </xdr:from>
    <xdr:to>
      <xdr:col>5</xdr:col>
      <xdr:colOff>352422</xdr:colOff>
      <xdr:row>59</xdr:row>
      <xdr:rowOff>44461</xdr:rowOff>
    </xdr:to>
    <xdr:sp macro="" textlink="">
      <xdr:nvSpPr>
        <xdr:cNvPr id="8" name="Text Box 14"/>
        <xdr:cNvSpPr txBox="1">
          <a:spLocks noChangeArrowheads="1"/>
        </xdr:cNvSpPr>
      </xdr:nvSpPr>
      <xdr:spPr bwMode="auto">
        <a:xfrm>
          <a:off x="874710" y="10137737"/>
          <a:ext cx="1201737" cy="25087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3175" algn="ctr">
          <a:solidFill>
            <a:srgbClr val="0000FF"/>
          </a:solidFill>
          <a:miter lim="800000"/>
          <a:headEnd/>
          <a:tailEnd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Key growth rate (g)</a:t>
          </a:r>
        </a:p>
      </xdr:txBody>
    </xdr:sp>
    <xdr:clientData/>
  </xdr:twoCellAnchor>
  <xdr:twoCellAnchor>
    <xdr:from>
      <xdr:col>7</xdr:col>
      <xdr:colOff>180976</xdr:colOff>
      <xdr:row>69</xdr:row>
      <xdr:rowOff>55472</xdr:rowOff>
    </xdr:from>
    <xdr:to>
      <xdr:col>8</xdr:col>
      <xdr:colOff>466726</xdr:colOff>
      <xdr:row>70</xdr:row>
      <xdr:rowOff>133292</xdr:rowOff>
    </xdr:to>
    <xdr:sp macro="" textlink="">
      <xdr:nvSpPr>
        <xdr:cNvPr id="21" name="Text Box 13"/>
        <xdr:cNvSpPr txBox="1">
          <a:spLocks noChangeArrowheads="1"/>
        </xdr:cNvSpPr>
      </xdr:nvSpPr>
      <xdr:spPr bwMode="auto">
        <a:xfrm>
          <a:off x="3238501" y="12018872"/>
          <a:ext cx="952500" cy="239745"/>
        </a:xfrm>
        <a:prstGeom prst="rect">
          <a:avLst/>
        </a:prstGeom>
        <a:solidFill>
          <a:schemeClr val="bg1">
            <a:lumMod val="95000"/>
          </a:schemeClr>
        </a:solidFill>
        <a:ln w="3175" algn="ctr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Use Auto Sum!</a:t>
          </a:r>
        </a:p>
      </xdr:txBody>
    </xdr:sp>
    <xdr:clientData/>
  </xdr:twoCellAnchor>
  <xdr:twoCellAnchor>
    <xdr:from>
      <xdr:col>7</xdr:col>
      <xdr:colOff>123825</xdr:colOff>
      <xdr:row>74</xdr:row>
      <xdr:rowOff>118211</xdr:rowOff>
    </xdr:from>
    <xdr:to>
      <xdr:col>8</xdr:col>
      <xdr:colOff>476250</xdr:colOff>
      <xdr:row>76</xdr:row>
      <xdr:rowOff>57150</xdr:rowOff>
    </xdr:to>
    <xdr:sp macro="" textlink="">
      <xdr:nvSpPr>
        <xdr:cNvPr id="23" name="Text Box 13"/>
        <xdr:cNvSpPr txBox="1">
          <a:spLocks noChangeArrowheads="1"/>
        </xdr:cNvSpPr>
      </xdr:nvSpPr>
      <xdr:spPr bwMode="auto">
        <a:xfrm>
          <a:off x="3219450" y="11681561"/>
          <a:ext cx="1019175" cy="262789"/>
        </a:xfrm>
        <a:prstGeom prst="rect">
          <a:avLst/>
        </a:prstGeom>
        <a:solidFill>
          <a:schemeClr val="bg1">
            <a:lumMod val="95000"/>
          </a:schemeClr>
        </a:solidFill>
        <a:ln w="3175" algn="ctr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45720" rIns="45720" anchor="ctr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“Intrinsic” value</a:t>
          </a:r>
        </a:p>
      </xdr:txBody>
    </xdr:sp>
    <xdr:clientData/>
  </xdr:twoCellAnchor>
  <xdr:twoCellAnchor>
    <xdr:from>
      <xdr:col>8</xdr:col>
      <xdr:colOff>401554</xdr:colOff>
      <xdr:row>61</xdr:row>
      <xdr:rowOff>39712</xdr:rowOff>
    </xdr:from>
    <xdr:to>
      <xdr:col>9</xdr:col>
      <xdr:colOff>38100</xdr:colOff>
      <xdr:row>62</xdr:row>
      <xdr:rowOff>9525</xdr:rowOff>
    </xdr:to>
    <xdr:cxnSp macro="">
      <xdr:nvCxnSpPr>
        <xdr:cNvPr id="24" name="AutoShape 16"/>
        <xdr:cNvCxnSpPr>
          <a:cxnSpLocks noChangeShapeType="1"/>
          <a:stCxn id="25" idx="3"/>
        </xdr:cNvCxnSpPr>
      </xdr:nvCxnSpPr>
      <xdr:spPr bwMode="auto">
        <a:xfrm>
          <a:off x="4125829" y="9412312"/>
          <a:ext cx="303296" cy="131738"/>
        </a:xfrm>
        <a:prstGeom prst="straightConnector1">
          <a:avLst/>
        </a:prstGeom>
        <a:noFill/>
        <a:ln w="9525">
          <a:solidFill>
            <a:schemeClr val="tx1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7</xdr:col>
      <xdr:colOff>28575</xdr:colOff>
      <xdr:row>66</xdr:row>
      <xdr:rowOff>38100</xdr:rowOff>
    </xdr:from>
    <xdr:to>
      <xdr:col>7</xdr:col>
      <xdr:colOff>74294</xdr:colOff>
      <xdr:row>69</xdr:row>
      <xdr:rowOff>133350</xdr:rowOff>
    </xdr:to>
    <xdr:sp macro="" textlink="">
      <xdr:nvSpPr>
        <xdr:cNvPr id="40" name="Right Bracket 39"/>
        <xdr:cNvSpPr/>
      </xdr:nvSpPr>
      <xdr:spPr>
        <a:xfrm>
          <a:off x="3086100" y="11515725"/>
          <a:ext cx="45719" cy="581025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38100</xdr:colOff>
      <xdr:row>41</xdr:row>
      <xdr:rowOff>142875</xdr:rowOff>
    </xdr:from>
    <xdr:to>
      <xdr:col>9</xdr:col>
      <xdr:colOff>66675</xdr:colOff>
      <xdr:row>44</xdr:row>
      <xdr:rowOff>66675</xdr:rowOff>
    </xdr:to>
    <xdr:cxnSp macro="">
      <xdr:nvCxnSpPr>
        <xdr:cNvPr id="44" name="AutoShape 30"/>
        <xdr:cNvCxnSpPr>
          <a:cxnSpLocks noChangeShapeType="1"/>
        </xdr:cNvCxnSpPr>
      </xdr:nvCxnSpPr>
      <xdr:spPr bwMode="auto">
        <a:xfrm>
          <a:off x="3095625" y="7572375"/>
          <a:ext cx="1362075" cy="409575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13</xdr:col>
      <xdr:colOff>647701</xdr:colOff>
      <xdr:row>42</xdr:row>
      <xdr:rowOff>150059</xdr:rowOff>
    </xdr:from>
    <xdr:to>
      <xdr:col>16</xdr:col>
      <xdr:colOff>247647</xdr:colOff>
      <xdr:row>44</xdr:row>
      <xdr:rowOff>72250</xdr:rowOff>
    </xdr:to>
    <xdr:cxnSp macro="">
      <xdr:nvCxnSpPr>
        <xdr:cNvPr id="47" name="AutoShape 61"/>
        <xdr:cNvCxnSpPr>
          <a:cxnSpLocks noChangeShapeType="1"/>
          <a:stCxn id="7" idx="2"/>
        </xdr:cNvCxnSpPr>
      </xdr:nvCxnSpPr>
      <xdr:spPr bwMode="auto">
        <a:xfrm flipH="1">
          <a:off x="7705726" y="7741484"/>
          <a:ext cx="1047746" cy="246041"/>
        </a:xfrm>
        <a:prstGeom prst="straightConnector1">
          <a:avLst/>
        </a:prstGeom>
        <a:noFill/>
        <a:ln w="3175">
          <a:solidFill>
            <a:schemeClr val="tx1"/>
          </a:solidFill>
          <a:round/>
          <a:headEnd/>
          <a:tailEnd type="triangle" w="med" len="sm"/>
        </a:ln>
        <a:effectLst/>
      </xdr:spPr>
    </xdr:cxnSp>
    <xdr:clientData/>
  </xdr:twoCellAnchor>
  <xdr:twoCellAnchor>
    <xdr:from>
      <xdr:col>4</xdr:col>
      <xdr:colOff>418304</xdr:colOff>
      <xdr:row>59</xdr:row>
      <xdr:rowOff>44461</xdr:rowOff>
    </xdr:from>
    <xdr:to>
      <xdr:col>6</xdr:col>
      <xdr:colOff>104775</xdr:colOff>
      <xdr:row>61</xdr:row>
      <xdr:rowOff>85725</xdr:rowOff>
    </xdr:to>
    <xdr:cxnSp macro="">
      <xdr:nvCxnSpPr>
        <xdr:cNvPr id="49" name="AutoShape 30"/>
        <xdr:cNvCxnSpPr>
          <a:cxnSpLocks noChangeShapeType="1"/>
          <a:stCxn id="8" idx="2"/>
        </xdr:cNvCxnSpPr>
      </xdr:nvCxnSpPr>
      <xdr:spPr bwMode="auto">
        <a:xfrm>
          <a:off x="1475579" y="10388611"/>
          <a:ext cx="1019971" cy="365114"/>
        </a:xfrm>
        <a:prstGeom prst="straightConnector1">
          <a:avLst/>
        </a:prstGeom>
        <a:noFill/>
        <a:ln w="9525">
          <a:solidFill>
            <a:srgbClr val="3333FF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7</xdr:col>
      <xdr:colOff>19050</xdr:colOff>
      <xdr:row>44</xdr:row>
      <xdr:rowOff>159584</xdr:rowOff>
    </xdr:from>
    <xdr:to>
      <xdr:col>12</xdr:col>
      <xdr:colOff>666748</xdr:colOff>
      <xdr:row>64</xdr:row>
      <xdr:rowOff>66675</xdr:rowOff>
    </xdr:to>
    <xdr:cxnSp macro="">
      <xdr:nvCxnSpPr>
        <xdr:cNvPr id="52" name="AutoShape 61"/>
        <xdr:cNvCxnSpPr>
          <a:cxnSpLocks noChangeShapeType="1"/>
        </xdr:cNvCxnSpPr>
      </xdr:nvCxnSpPr>
      <xdr:spPr bwMode="auto">
        <a:xfrm flipH="1">
          <a:off x="3076575" y="8074859"/>
          <a:ext cx="3981448" cy="3145591"/>
        </a:xfrm>
        <a:prstGeom prst="straightConnector1">
          <a:avLst/>
        </a:prstGeom>
        <a:noFill/>
        <a:ln w="3175">
          <a:solidFill>
            <a:schemeClr val="tx1"/>
          </a:solidFill>
          <a:round/>
          <a:headEnd/>
          <a:tailEnd type="triangle" w="med" len="sm"/>
        </a:ln>
        <a:effectLst/>
      </xdr:spPr>
    </xdr:cxnSp>
    <xdr:clientData/>
  </xdr:twoCellAnchor>
  <xdr:twoCellAnchor>
    <xdr:from>
      <xdr:col>7</xdr:col>
      <xdr:colOff>209550</xdr:colOff>
      <xdr:row>60</xdr:row>
      <xdr:rowOff>76200</xdr:rowOff>
    </xdr:from>
    <xdr:to>
      <xdr:col>8</xdr:col>
      <xdr:colOff>401554</xdr:colOff>
      <xdr:row>62</xdr:row>
      <xdr:rowOff>3224</xdr:rowOff>
    </xdr:to>
    <xdr:sp macro="" textlink="">
      <xdr:nvSpPr>
        <xdr:cNvPr id="25" name="Text Box 6"/>
        <xdr:cNvSpPr txBox="1">
          <a:spLocks noChangeArrowheads="1"/>
        </xdr:cNvSpPr>
      </xdr:nvSpPr>
      <xdr:spPr bwMode="auto">
        <a:xfrm>
          <a:off x="3267075" y="9286875"/>
          <a:ext cx="858754" cy="250874"/>
        </a:xfrm>
        <a:prstGeom prst="rect">
          <a:avLst/>
        </a:prstGeom>
        <a:solidFill>
          <a:schemeClr val="bg1">
            <a:lumMod val="95000"/>
          </a:schemeClr>
        </a:solidFill>
        <a:ln w="3175" algn="ctr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45688" tIns="45688" rIns="45688" bIns="45688" anchor="ctr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eaLnBrk="0" hangingPunct="0"/>
          <a:r>
            <a:rPr lang="en-US" sz="1000"/>
            <a:t>“Output” Cell</a:t>
          </a:r>
        </a:p>
      </xdr:txBody>
    </xdr:sp>
    <xdr:clientData/>
  </xdr:twoCellAnchor>
  <xdr:twoCellAnchor>
    <xdr:from>
      <xdr:col>7</xdr:col>
      <xdr:colOff>104777</xdr:colOff>
      <xdr:row>67</xdr:row>
      <xdr:rowOff>148451</xdr:rowOff>
    </xdr:from>
    <xdr:to>
      <xdr:col>7</xdr:col>
      <xdr:colOff>657226</xdr:colOff>
      <xdr:row>69</xdr:row>
      <xdr:rowOff>55472</xdr:rowOff>
    </xdr:to>
    <xdr:cxnSp macro="">
      <xdr:nvCxnSpPr>
        <xdr:cNvPr id="54" name="AutoShape 61"/>
        <xdr:cNvCxnSpPr>
          <a:cxnSpLocks noChangeShapeType="1"/>
          <a:stCxn id="21" idx="0"/>
        </xdr:cNvCxnSpPr>
      </xdr:nvCxnSpPr>
      <xdr:spPr bwMode="auto">
        <a:xfrm flipH="1" flipV="1">
          <a:off x="3162302" y="11788001"/>
          <a:ext cx="552449" cy="230871"/>
        </a:xfrm>
        <a:prstGeom prst="straightConnector1">
          <a:avLst/>
        </a:prstGeom>
        <a:noFill/>
        <a:ln w="3175">
          <a:solidFill>
            <a:schemeClr val="tx1"/>
          </a:solidFill>
          <a:round/>
          <a:headEnd/>
          <a:tailEnd type="triangle" w="med" len="sm"/>
        </a:ln>
        <a:effectLst/>
      </xdr:spPr>
    </xdr:cxnSp>
    <xdr:clientData/>
  </xdr:twoCellAnchor>
  <xdr:twoCellAnchor>
    <xdr:from>
      <xdr:col>7</xdr:col>
      <xdr:colOff>76203</xdr:colOff>
      <xdr:row>73</xdr:row>
      <xdr:rowOff>100828</xdr:rowOff>
    </xdr:from>
    <xdr:to>
      <xdr:col>7</xdr:col>
      <xdr:colOff>633413</xdr:colOff>
      <xdr:row>74</xdr:row>
      <xdr:rowOff>118211</xdr:rowOff>
    </xdr:to>
    <xdr:cxnSp macro="">
      <xdr:nvCxnSpPr>
        <xdr:cNvPr id="57" name="AutoShape 61"/>
        <xdr:cNvCxnSpPr>
          <a:cxnSpLocks noChangeShapeType="1"/>
          <a:stCxn id="23" idx="0"/>
        </xdr:cNvCxnSpPr>
      </xdr:nvCxnSpPr>
      <xdr:spPr bwMode="auto">
        <a:xfrm flipH="1" flipV="1">
          <a:off x="3171828" y="11502253"/>
          <a:ext cx="557210" cy="179308"/>
        </a:xfrm>
        <a:prstGeom prst="straightConnector1">
          <a:avLst/>
        </a:prstGeom>
        <a:noFill/>
        <a:ln w="3175">
          <a:solidFill>
            <a:schemeClr val="tx1"/>
          </a:solidFill>
          <a:round/>
          <a:headEnd/>
          <a:tailEnd type="triangle" w="med" len="sm"/>
        </a:ln>
        <a:effectLst/>
      </xdr:spPr>
    </xdr:cxnSp>
    <xdr:clientData/>
  </xdr:twoCellAnchor>
  <xdr:twoCellAnchor editAs="oneCell">
    <xdr:from>
      <xdr:col>8</xdr:col>
      <xdr:colOff>409575</xdr:colOff>
      <xdr:row>53</xdr:row>
      <xdr:rowOff>95250</xdr:rowOff>
    </xdr:from>
    <xdr:to>
      <xdr:col>11</xdr:col>
      <xdr:colOff>200025</xdr:colOff>
      <xdr:row>55</xdr:row>
      <xdr:rowOff>129540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33850" y="9467850"/>
          <a:ext cx="1790700" cy="3581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47625</xdr:colOff>
      <xdr:row>66</xdr:row>
      <xdr:rowOff>133352</xdr:rowOff>
    </xdr:from>
    <xdr:to>
      <xdr:col>2</xdr:col>
      <xdr:colOff>66675</xdr:colOff>
      <xdr:row>76</xdr:row>
      <xdr:rowOff>85725</xdr:rowOff>
    </xdr:to>
    <xdr:cxnSp macro="">
      <xdr:nvCxnSpPr>
        <xdr:cNvPr id="62" name="AutoShape 30"/>
        <xdr:cNvCxnSpPr>
          <a:cxnSpLocks noChangeShapeType="1"/>
        </xdr:cNvCxnSpPr>
      </xdr:nvCxnSpPr>
      <xdr:spPr bwMode="auto">
        <a:xfrm flipV="1">
          <a:off x="247650" y="10401302"/>
          <a:ext cx="133350" cy="1571623"/>
        </a:xfrm>
        <a:prstGeom prst="straightConnector1">
          <a:avLst/>
        </a:prstGeom>
        <a:noFill/>
        <a:ln w="9525">
          <a:solidFill>
            <a:schemeClr val="tx1"/>
          </a:solidFill>
          <a:round/>
          <a:headEnd/>
          <a:tailEnd type="triangle" w="med" len="med"/>
        </a:ln>
        <a:effectLst/>
      </xdr:spPr>
    </xdr:cxnSp>
    <xdr:clientData/>
  </xdr:twoCellAnchor>
  <xdr:twoCellAnchor>
    <xdr:from>
      <xdr:col>0</xdr:col>
      <xdr:colOff>190500</xdr:colOff>
      <xdr:row>76</xdr:row>
      <xdr:rowOff>54319</xdr:rowOff>
    </xdr:from>
    <xdr:to>
      <xdr:col>7</xdr:col>
      <xdr:colOff>28575</xdr:colOff>
      <xdr:row>79</xdr:row>
      <xdr:rowOff>133350</xdr:rowOff>
    </xdr:to>
    <xdr:sp macro="" textlink="">
      <xdr:nvSpPr>
        <xdr:cNvPr id="19" name="Text Box 9"/>
        <xdr:cNvSpPr txBox="1">
          <a:spLocks noChangeArrowheads="1"/>
        </xdr:cNvSpPr>
      </xdr:nvSpPr>
      <xdr:spPr bwMode="auto">
        <a:xfrm>
          <a:off x="190500" y="11941519"/>
          <a:ext cx="2933700" cy="564806"/>
        </a:xfrm>
        <a:prstGeom prst="rect">
          <a:avLst/>
        </a:prstGeom>
        <a:solidFill>
          <a:schemeClr val="bg1">
            <a:lumMod val="95000"/>
          </a:schemeClr>
        </a:solidFill>
        <a:ln w="3175" algn="ctr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45688" tIns="45688" rIns="45688" bIns="45688" anchor="ctr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marL="114220" indent="-114220" eaLnBrk="0" hangingPunct="0"/>
          <a:r>
            <a:rPr lang="en-US" sz="1000"/>
            <a:t>Other common terms:</a:t>
          </a:r>
          <a:br>
            <a:rPr lang="en-US" sz="1000"/>
          </a:br>
          <a:r>
            <a:rPr lang="en-US" sz="1000"/>
            <a:t>Firm Value, Total Enterprise Value, Transaction Value, Aggregate Value, Adjusted Market Value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190500</xdr:colOff>
      <xdr:row>81</xdr:row>
      <xdr:rowOff>0</xdr:rowOff>
    </xdr:from>
    <xdr:ext cx="1800225" cy="200025"/>
    <xdr:pic>
      <xdr:nvPicPr>
        <xdr:cNvPr id="2" name="Picture 37" descr="40%TTS LogoPMSFinal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10187940"/>
          <a:ext cx="1800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190500</xdr:colOff>
      <xdr:row>81</xdr:row>
      <xdr:rowOff>0</xdr:rowOff>
    </xdr:from>
    <xdr:ext cx="1800225" cy="200025"/>
    <xdr:pic>
      <xdr:nvPicPr>
        <xdr:cNvPr id="2" name="Picture 37" descr="40%TTS LogoPMSFinal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9934575"/>
          <a:ext cx="1800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373381</xdr:colOff>
      <xdr:row>22</xdr:row>
      <xdr:rowOff>116206</xdr:rowOff>
    </xdr:from>
    <xdr:to>
      <xdr:col>13</xdr:col>
      <xdr:colOff>198120</xdr:colOff>
      <xdr:row>24</xdr:row>
      <xdr:rowOff>66675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2802256" y="3754756"/>
          <a:ext cx="4491989" cy="274319"/>
        </a:xfrm>
        <a:prstGeom prst="rect">
          <a:avLst/>
        </a:prstGeom>
        <a:solidFill>
          <a:srgbClr val="FFFF99"/>
        </a:solidFill>
        <a:ln w="19050">
          <a:solidFill>
            <a:srgbClr val="000080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Fill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in </a:t>
          </a:r>
          <a:r>
            <a:rPr lang="en-US" sz="1200" b="0" i="0" strike="noStrike" baseline="0">
              <a:solidFill>
                <a:srgbClr val="3333FF"/>
              </a:solidFill>
              <a:latin typeface="Arial"/>
              <a:cs typeface="Arial"/>
            </a:rPr>
            <a:t>Blue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Cells in this template to create a DCF analysis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trainingthestreet.com/macros/" TargetMode="External"/><Relationship Id="rId2" Type="http://schemas.openxmlformats.org/officeDocument/2006/relationships/hyperlink" Target="http://trainingthestreet.com/public_courses/course-calendar/" TargetMode="External"/><Relationship Id="rId1" Type="http://schemas.openxmlformats.org/officeDocument/2006/relationships/hyperlink" Target="mailto:info@trainingthestreet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trainingthestreet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5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7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9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1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1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7"/>
    <pageSetUpPr fitToPage="1"/>
  </sheetPr>
  <dimension ref="A1:I43"/>
  <sheetViews>
    <sheetView showGridLines="0" showRowColHeaders="0" zoomScaleNormal="100" workbookViewId="0"/>
  </sheetViews>
  <sheetFormatPr defaultColWidth="0" defaultRowHeight="12.75" customHeight="1" zeroHeight="1" x14ac:dyDescent="0.2"/>
  <cols>
    <col min="1" max="1" width="3.7109375" style="506" customWidth="1"/>
    <col min="2" max="2" width="0.42578125" style="506" customWidth="1"/>
    <col min="3" max="3" width="20.7109375" style="506" customWidth="1"/>
    <col min="4" max="4" width="64.85546875" style="506" customWidth="1"/>
    <col min="5" max="5" width="2.7109375" style="506" customWidth="1"/>
    <col min="6" max="8" width="9.7109375" style="506" customWidth="1"/>
    <col min="9" max="9" width="9.140625" style="506" customWidth="1"/>
    <col min="10" max="16384" width="0" style="506" hidden="1"/>
  </cols>
  <sheetData>
    <row r="1" spans="1:9" x14ac:dyDescent="0.2">
      <c r="A1" s="505"/>
    </row>
    <row r="2" spans="1:9" x14ac:dyDescent="0.2"/>
    <row r="3" spans="1:9" x14ac:dyDescent="0.2"/>
    <row r="4" spans="1:9" x14ac:dyDescent="0.2"/>
    <row r="5" spans="1:9" x14ac:dyDescent="0.2">
      <c r="B5" s="507"/>
      <c r="C5" s="508"/>
      <c r="D5" s="509"/>
    </row>
    <row r="6" spans="1:9" ht="4.1500000000000004" customHeight="1" x14ac:dyDescent="0.2">
      <c r="B6" s="510"/>
      <c r="C6" s="511"/>
      <c r="D6" s="512"/>
    </row>
    <row r="7" spans="1:9" ht="13.15" customHeight="1" x14ac:dyDescent="0.2">
      <c r="B7" s="513"/>
      <c r="C7" s="514" t="s">
        <v>0</v>
      </c>
      <c r="D7" s="515" t="s">
        <v>1</v>
      </c>
      <c r="E7" s="516"/>
      <c r="F7" s="517" t="s">
        <v>2</v>
      </c>
    </row>
    <row r="8" spans="1:9" x14ac:dyDescent="0.2">
      <c r="B8" s="513"/>
      <c r="C8" s="518" t="s">
        <v>3</v>
      </c>
      <c r="D8" s="519" t="s">
        <v>4</v>
      </c>
      <c r="F8" s="520" t="s">
        <v>5</v>
      </c>
    </row>
    <row r="9" spans="1:9" x14ac:dyDescent="0.2">
      <c r="B9" s="513"/>
      <c r="C9" s="518" t="s">
        <v>6</v>
      </c>
      <c r="D9" s="519" t="s">
        <v>178</v>
      </c>
      <c r="F9" s="520" t="s">
        <v>7</v>
      </c>
    </row>
    <row r="10" spans="1:9" ht="13.15" customHeight="1" x14ac:dyDescent="0.2">
      <c r="B10" s="513"/>
      <c r="C10" s="518" t="s">
        <v>8</v>
      </c>
      <c r="D10" s="512" t="s">
        <v>179</v>
      </c>
      <c r="F10" s="506" t="s">
        <v>9</v>
      </c>
    </row>
    <row r="11" spans="1:9" x14ac:dyDescent="0.2">
      <c r="B11" s="513"/>
      <c r="C11" s="518" t="s">
        <v>10</v>
      </c>
      <c r="D11" s="512" t="s">
        <v>180</v>
      </c>
      <c r="F11" s="506" t="s">
        <v>11</v>
      </c>
    </row>
    <row r="12" spans="1:9" x14ac:dyDescent="0.2">
      <c r="B12" s="513"/>
      <c r="C12" s="518" t="s">
        <v>181</v>
      </c>
      <c r="D12" s="521" t="s">
        <v>182</v>
      </c>
      <c r="F12" s="506" t="s">
        <v>12</v>
      </c>
    </row>
    <row r="13" spans="1:9" ht="4.1500000000000004" customHeight="1" x14ac:dyDescent="0.2">
      <c r="B13" s="513"/>
      <c r="C13" s="514"/>
      <c r="D13" s="512"/>
    </row>
    <row r="14" spans="1:9" ht="4.1500000000000004" customHeight="1" x14ac:dyDescent="0.2">
      <c r="B14" s="522"/>
      <c r="C14" s="523"/>
      <c r="D14" s="524"/>
    </row>
    <row r="15" spans="1:9" x14ac:dyDescent="0.2">
      <c r="B15" s="513"/>
      <c r="C15" s="525" t="s">
        <v>14</v>
      </c>
      <c r="D15" s="526" t="s">
        <v>15</v>
      </c>
      <c r="F15" s="520" t="s">
        <v>13</v>
      </c>
      <c r="I15" s="527"/>
    </row>
    <row r="16" spans="1:9" x14ac:dyDescent="0.2">
      <c r="B16" s="513"/>
      <c r="C16" s="525" t="s">
        <v>87</v>
      </c>
      <c r="D16" s="526" t="s">
        <v>16</v>
      </c>
    </row>
    <row r="17" spans="2:8" x14ac:dyDescent="0.2">
      <c r="B17" s="513"/>
      <c r="C17" s="525" t="s">
        <v>17</v>
      </c>
      <c r="D17" s="521" t="s">
        <v>183</v>
      </c>
      <c r="F17" s="528"/>
      <c r="G17" s="529"/>
      <c r="H17" s="529"/>
    </row>
    <row r="18" spans="2:8" x14ac:dyDescent="0.2">
      <c r="B18" s="513"/>
      <c r="C18" s="517" t="s">
        <v>18</v>
      </c>
      <c r="D18" s="530" t="s">
        <v>19</v>
      </c>
    </row>
    <row r="19" spans="2:8" x14ac:dyDescent="0.2">
      <c r="B19" s="513"/>
      <c r="D19" s="530" t="s">
        <v>20</v>
      </c>
    </row>
    <row r="20" spans="2:8" ht="4.1500000000000004" customHeight="1" x14ac:dyDescent="0.2">
      <c r="B20" s="513"/>
      <c r="C20" s="514"/>
      <c r="D20" s="512"/>
    </row>
    <row r="21" spans="2:8" ht="4.1500000000000004" customHeight="1" x14ac:dyDescent="0.2">
      <c r="B21" s="522"/>
      <c r="C21" s="523"/>
      <c r="D21" s="524"/>
    </row>
    <row r="22" spans="2:8" x14ac:dyDescent="0.2">
      <c r="B22" s="513"/>
      <c r="C22" s="514" t="s">
        <v>21</v>
      </c>
      <c r="D22" s="512" t="s">
        <v>22</v>
      </c>
    </row>
    <row r="23" spans="2:8" x14ac:dyDescent="0.2">
      <c r="B23" s="510"/>
      <c r="C23" s="511"/>
      <c r="D23" s="521" t="s">
        <v>184</v>
      </c>
    </row>
    <row r="24" spans="2:8" ht="4.1500000000000004" customHeight="1" x14ac:dyDescent="0.2">
      <c r="B24" s="531"/>
      <c r="C24" s="532"/>
      <c r="D24" s="533"/>
    </row>
    <row r="25" spans="2:8" x14ac:dyDescent="0.2"/>
    <row r="26" spans="2:8" x14ac:dyDescent="0.2"/>
    <row r="27" spans="2:8" hidden="1" x14ac:dyDescent="0.2"/>
    <row r="28" spans="2:8" hidden="1" x14ac:dyDescent="0.2"/>
    <row r="29" spans="2:8" hidden="1" x14ac:dyDescent="0.2"/>
    <row r="30" spans="2:8" hidden="1" x14ac:dyDescent="0.2"/>
    <row r="31" spans="2:8" hidden="1" x14ac:dyDescent="0.2"/>
    <row r="32" spans="2:8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</sheetData>
  <sheetProtection algorithmName="SHA-512" hashValue="3P0/bxjwrSxhOn5pmMWsNkafllaqihtZ8c+9PBXCEgLzjngG9Jw5WmhNWnTSSu0w+KoCWDHESZTsLTOftkZmig==" saltValue="4cK+WngE2ljSylDOZlWCMg==" spinCount="100000" sheet="1" objects="1" scenarios="1"/>
  <hyperlinks>
    <hyperlink ref="F15" r:id="rId1"/>
    <hyperlink ref="D17" r:id="rId2"/>
    <hyperlink ref="D23" r:id="rId3"/>
    <hyperlink ref="D12" r:id="rId4"/>
  </hyperlinks>
  <printOptions horizontalCentered="1"/>
  <pageMargins left="0.38" right="0.2" top="1" bottom="1" header="0.5" footer="0.5"/>
  <pageSetup orientation="landscape" r:id="rId5"/>
  <headerFooter alignWithMargins="0"/>
  <colBreaks count="1" manualBreakCount="1">
    <brk id="4" max="1048575" man="1"/>
  </colBrea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"/>
  <sheetViews>
    <sheetView showGridLines="0" zoomScale="90" zoomScaleNormal="90" workbookViewId="0"/>
  </sheetViews>
  <sheetFormatPr defaultColWidth="10" defaultRowHeight="13.15" customHeight="1" x14ac:dyDescent="0.2"/>
  <cols>
    <col min="1" max="1" width="1.7109375" style="214" customWidth="1"/>
    <col min="2" max="3" width="1.7109375" style="105" customWidth="1"/>
    <col min="4" max="14" width="10" style="105" customWidth="1"/>
    <col min="15" max="15" width="1.7109375" style="105" customWidth="1"/>
    <col min="16" max="16" width="10" style="105"/>
    <col min="17" max="17" width="10.85546875" style="105" hidden="1" customWidth="1"/>
    <col min="18" max="18" width="0" style="105" hidden="1" customWidth="1"/>
    <col min="19" max="16384" width="10" style="105"/>
  </cols>
  <sheetData>
    <row r="1" spans="1:18" ht="12.75" customHeight="1" x14ac:dyDescent="0.2">
      <c r="A1" s="222"/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376"/>
      <c r="Q1" s="224" t="s">
        <v>23</v>
      </c>
      <c r="R1" s="225"/>
    </row>
    <row r="2" spans="1:18" ht="12.75" customHeight="1" x14ac:dyDescent="0.25">
      <c r="A2" s="226"/>
      <c r="B2" s="227" t="s">
        <v>24</v>
      </c>
      <c r="C2" s="228"/>
      <c r="D2" s="228"/>
      <c r="E2" s="228"/>
      <c r="F2" s="228"/>
      <c r="G2" s="228"/>
      <c r="H2" s="227" t="s">
        <v>177</v>
      </c>
      <c r="I2" s="228"/>
      <c r="J2" s="228"/>
      <c r="K2" s="227" t="s">
        <v>25</v>
      </c>
      <c r="L2" s="228"/>
      <c r="M2" s="228"/>
      <c r="N2" s="228"/>
      <c r="O2" s="228"/>
      <c r="P2" s="377"/>
      <c r="Q2" s="229" t="s">
        <v>23</v>
      </c>
      <c r="R2" s="225"/>
    </row>
    <row r="3" spans="1:18" ht="12.75" customHeight="1" x14ac:dyDescent="0.2">
      <c r="A3" s="226"/>
      <c r="B3" s="230" t="s">
        <v>26</v>
      </c>
      <c r="C3" s="231"/>
      <c r="D3" s="231"/>
      <c r="E3" s="231"/>
      <c r="F3" s="232"/>
      <c r="G3" s="228"/>
      <c r="H3" s="501">
        <v>42369</v>
      </c>
      <c r="I3" s="381"/>
      <c r="J3" s="228"/>
      <c r="K3" s="230" t="s">
        <v>27</v>
      </c>
      <c r="L3" s="231"/>
      <c r="M3" s="231"/>
      <c r="N3" s="231"/>
      <c r="O3" s="232"/>
      <c r="P3" s="377"/>
      <c r="Q3" s="229" t="s">
        <v>23</v>
      </c>
      <c r="R3" s="225"/>
    </row>
    <row r="4" spans="1:18" ht="12.75" customHeight="1" x14ac:dyDescent="0.2">
      <c r="A4" s="226"/>
      <c r="B4" s="228"/>
      <c r="C4" s="228"/>
      <c r="D4" s="228"/>
      <c r="E4" s="228"/>
      <c r="F4" s="228"/>
      <c r="G4" s="228"/>
      <c r="H4" s="228"/>
      <c r="I4" s="228"/>
      <c r="J4" s="228"/>
      <c r="K4" s="233"/>
      <c r="L4" s="228"/>
      <c r="M4" s="228"/>
      <c r="N4" s="228"/>
      <c r="O4" s="228"/>
      <c r="P4" s="377"/>
      <c r="Q4" s="229" t="s">
        <v>23</v>
      </c>
      <c r="R4" s="225"/>
    </row>
    <row r="5" spans="1:18" ht="12.75" customHeight="1" x14ac:dyDescent="0.2">
      <c r="A5" s="234"/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378"/>
      <c r="Q5" s="236" t="s">
        <v>23</v>
      </c>
      <c r="R5" s="225"/>
    </row>
    <row r="6" spans="1:18" ht="13.15" customHeight="1" x14ac:dyDescent="0.2">
      <c r="A6" s="354"/>
      <c r="B6" s="354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</row>
    <row r="7" spans="1:18" ht="13.15" customHeight="1" x14ac:dyDescent="0.2">
      <c r="A7" s="354" t="s">
        <v>23</v>
      </c>
      <c r="B7" s="354" t="s">
        <v>86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</row>
    <row r="8" spans="1:18" ht="13.15" customHeight="1" x14ac:dyDescent="0.2">
      <c r="L8"/>
      <c r="M8"/>
      <c r="N8"/>
    </row>
  </sheetData>
  <sheetProtection selectLockedCells="1" selectUnlockedCells="1"/>
  <pageMargins left="0.75" right="0.75" top="0.65" bottom="0.65" header="0.5" footer="0.25"/>
  <pageSetup scale="97" orientation="landscape" r:id="rId1"/>
  <headerFooter alignWithMargins="0">
    <oddFooter>&amp;C&amp;8&amp;G&amp;R&amp;8For training purposes only!&amp;L&amp;8COPYRIGHT 2016 © by Training The Street, Inc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78"/>
  <sheetViews>
    <sheetView showGridLines="0" topLeftCell="A51" zoomScale="90" zoomScaleNormal="90" workbookViewId="0">
      <selection activeCell="J29" sqref="J29"/>
    </sheetView>
  </sheetViews>
  <sheetFormatPr defaultColWidth="10" defaultRowHeight="13.15" customHeight="1" x14ac:dyDescent="0.2"/>
  <cols>
    <col min="1" max="1" width="3" style="214" customWidth="1"/>
    <col min="2" max="3" width="1.7109375" style="105" customWidth="1"/>
    <col min="4" max="14" width="10" style="105" customWidth="1"/>
    <col min="15" max="15" width="1.7109375" style="105" customWidth="1"/>
    <col min="16" max="16" width="10" style="105"/>
    <col min="17" max="17" width="10.85546875" style="105" hidden="1" customWidth="1"/>
    <col min="18" max="18" width="0" style="105" hidden="1" customWidth="1"/>
    <col min="19" max="16384" width="10" style="105"/>
  </cols>
  <sheetData>
    <row r="1" spans="1:18" ht="12.75" hidden="1" customHeight="1" x14ac:dyDescent="0.2">
      <c r="A1" s="386"/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224" t="s">
        <v>23</v>
      </c>
      <c r="R1" s="225"/>
    </row>
    <row r="2" spans="1:18" ht="12.75" hidden="1" customHeight="1" x14ac:dyDescent="0.25">
      <c r="A2" s="386"/>
      <c r="B2" s="388"/>
      <c r="C2" s="386"/>
      <c r="D2" s="386"/>
      <c r="E2" s="386"/>
      <c r="F2" s="386"/>
      <c r="G2" s="386"/>
      <c r="H2" s="386"/>
      <c r="I2" s="386"/>
      <c r="J2" s="386"/>
      <c r="K2" s="388"/>
      <c r="L2" s="386"/>
      <c r="M2" s="386"/>
      <c r="N2" s="386"/>
      <c r="O2" s="386"/>
      <c r="P2" s="386"/>
      <c r="Q2" s="229" t="s">
        <v>23</v>
      </c>
      <c r="R2" s="225"/>
    </row>
    <row r="3" spans="1:18" ht="12.75" hidden="1" customHeight="1" x14ac:dyDescent="0.2">
      <c r="A3" s="386"/>
      <c r="B3" s="389"/>
      <c r="C3" s="390"/>
      <c r="D3" s="390"/>
      <c r="E3" s="390"/>
      <c r="F3" s="390"/>
      <c r="G3" s="386"/>
      <c r="H3" s="386"/>
      <c r="I3" s="386"/>
      <c r="J3" s="386"/>
      <c r="K3" s="389"/>
      <c r="L3" s="390"/>
      <c r="M3" s="390"/>
      <c r="N3" s="390"/>
      <c r="O3" s="390"/>
      <c r="P3" s="386"/>
      <c r="Q3" s="229" t="s">
        <v>23</v>
      </c>
      <c r="R3" s="225"/>
    </row>
    <row r="4" spans="1:18" ht="12.75" hidden="1" customHeight="1" x14ac:dyDescent="0.2">
      <c r="A4" s="386"/>
      <c r="B4" s="386"/>
      <c r="C4" s="386"/>
      <c r="D4" s="386"/>
      <c r="E4" s="386"/>
      <c r="F4" s="386"/>
      <c r="G4" s="386"/>
      <c r="H4" s="386"/>
      <c r="I4" s="386"/>
      <c r="J4" s="386"/>
      <c r="K4" s="391"/>
      <c r="L4" s="386"/>
      <c r="M4" s="386"/>
      <c r="N4" s="386"/>
      <c r="O4" s="386"/>
      <c r="P4" s="386"/>
      <c r="Q4" s="229" t="s">
        <v>23</v>
      </c>
      <c r="R4" s="225"/>
    </row>
    <row r="5" spans="1:18" ht="12.75" hidden="1" customHeight="1" x14ac:dyDescent="0.25">
      <c r="A5" s="386"/>
      <c r="B5" s="388"/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229" t="s">
        <v>23</v>
      </c>
      <c r="R5" s="225"/>
    </row>
    <row r="6" spans="1:18" ht="12.75" hidden="1" customHeight="1" x14ac:dyDescent="0.25">
      <c r="A6" s="386"/>
      <c r="B6" s="388"/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229"/>
      <c r="R6" s="225"/>
    </row>
    <row r="7" spans="1:18" ht="12.75" hidden="1" customHeight="1" x14ac:dyDescent="0.25">
      <c r="A7" s="386"/>
      <c r="B7" s="388"/>
      <c r="C7" s="386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229"/>
      <c r="R7" s="225"/>
    </row>
    <row r="8" spans="1:18" ht="12.75" hidden="1" customHeight="1" x14ac:dyDescent="0.25">
      <c r="A8" s="386"/>
      <c r="B8" s="388"/>
      <c r="C8" s="386"/>
      <c r="D8" s="386"/>
      <c r="E8" s="386"/>
      <c r="F8" s="386"/>
      <c r="G8" s="386"/>
      <c r="H8" s="386"/>
      <c r="I8" s="386"/>
      <c r="J8" s="386"/>
      <c r="K8" s="386"/>
      <c r="L8" s="386"/>
      <c r="M8" s="386"/>
      <c r="N8" s="386"/>
      <c r="O8" s="386"/>
      <c r="P8" s="386"/>
      <c r="Q8" s="229"/>
      <c r="R8" s="225"/>
    </row>
    <row r="9" spans="1:18" ht="12.75" hidden="1" customHeight="1" x14ac:dyDescent="0.25">
      <c r="A9" s="386"/>
      <c r="B9" s="388"/>
      <c r="C9" s="386"/>
      <c r="D9" s="386"/>
      <c r="E9" s="386"/>
      <c r="F9" s="386"/>
      <c r="G9" s="386"/>
      <c r="H9" s="386"/>
      <c r="I9" s="386"/>
      <c r="J9" s="386"/>
      <c r="K9" s="386"/>
      <c r="L9" s="386"/>
      <c r="M9" s="386"/>
      <c r="N9" s="386"/>
      <c r="O9" s="386"/>
      <c r="P9" s="386"/>
      <c r="Q9" s="229"/>
      <c r="R9" s="225"/>
    </row>
    <row r="10" spans="1:18" ht="12.75" hidden="1" customHeight="1" x14ac:dyDescent="0.25">
      <c r="A10" s="386"/>
      <c r="B10" s="388"/>
      <c r="C10" s="386"/>
      <c r="D10" s="386"/>
      <c r="E10" s="386"/>
      <c r="F10" s="386"/>
      <c r="G10" s="386"/>
      <c r="H10" s="386"/>
      <c r="I10" s="386"/>
      <c r="J10" s="386"/>
      <c r="K10" s="386"/>
      <c r="L10" s="386"/>
      <c r="M10" s="386"/>
      <c r="N10" s="386"/>
      <c r="O10" s="386"/>
      <c r="P10" s="386"/>
      <c r="Q10" s="229"/>
      <c r="R10" s="225"/>
    </row>
    <row r="11" spans="1:18" ht="12.75" hidden="1" customHeight="1" x14ac:dyDescent="0.25">
      <c r="A11" s="386"/>
      <c r="B11" s="388"/>
      <c r="C11" s="386"/>
      <c r="D11" s="386"/>
      <c r="E11" s="386"/>
      <c r="F11" s="386"/>
      <c r="G11" s="386"/>
      <c r="H11" s="386"/>
      <c r="I11" s="386"/>
      <c r="J11" s="386"/>
      <c r="K11" s="386"/>
      <c r="L11" s="386"/>
      <c r="M11" s="386"/>
      <c r="N11" s="386"/>
      <c r="O11" s="386"/>
      <c r="P11" s="386"/>
      <c r="Q11" s="229"/>
      <c r="R11" s="225"/>
    </row>
    <row r="12" spans="1:18" ht="12.75" hidden="1" customHeight="1" x14ac:dyDescent="0.25">
      <c r="A12" s="386"/>
      <c r="B12" s="388"/>
      <c r="C12" s="386"/>
      <c r="D12" s="386"/>
      <c r="E12" s="386"/>
      <c r="F12" s="386"/>
      <c r="G12" s="386"/>
      <c r="H12" s="386"/>
      <c r="I12" s="386"/>
      <c r="J12" s="386"/>
      <c r="K12" s="386"/>
      <c r="L12" s="386"/>
      <c r="M12" s="386"/>
      <c r="N12" s="386"/>
      <c r="O12" s="386"/>
      <c r="P12" s="386"/>
      <c r="Q12" s="229"/>
      <c r="R12" s="225"/>
    </row>
    <row r="13" spans="1:18" ht="12.75" hidden="1" customHeight="1" x14ac:dyDescent="0.25">
      <c r="A13" s="386"/>
      <c r="B13" s="388"/>
      <c r="C13" s="386"/>
      <c r="D13" s="386"/>
      <c r="E13" s="386"/>
      <c r="F13" s="386"/>
      <c r="G13" s="386"/>
      <c r="H13" s="386"/>
      <c r="I13" s="386"/>
      <c r="J13" s="386"/>
      <c r="K13" s="386"/>
      <c r="L13" s="386"/>
      <c r="M13" s="386"/>
      <c r="N13" s="386"/>
      <c r="O13" s="386"/>
      <c r="P13" s="386"/>
      <c r="Q13" s="229"/>
      <c r="R13" s="225"/>
    </row>
    <row r="14" spans="1:18" ht="12.75" hidden="1" customHeight="1" x14ac:dyDescent="0.25">
      <c r="A14" s="386"/>
      <c r="B14" s="388"/>
      <c r="C14" s="386"/>
      <c r="D14" s="386"/>
      <c r="E14" s="386"/>
      <c r="F14" s="386"/>
      <c r="G14" s="386"/>
      <c r="H14" s="386"/>
      <c r="I14" s="386"/>
      <c r="J14" s="386"/>
      <c r="K14" s="386"/>
      <c r="L14" s="386"/>
      <c r="M14" s="386"/>
      <c r="N14" s="386"/>
      <c r="O14" s="386"/>
      <c r="P14" s="386"/>
      <c r="Q14" s="229"/>
      <c r="R14" s="225"/>
    </row>
    <row r="15" spans="1:18" ht="12.75" hidden="1" customHeight="1" x14ac:dyDescent="0.25">
      <c r="A15" s="386"/>
      <c r="B15" s="388"/>
      <c r="C15" s="386"/>
      <c r="D15" s="386"/>
      <c r="E15" s="386"/>
      <c r="F15" s="386"/>
      <c r="G15" s="386"/>
      <c r="H15" s="386"/>
      <c r="I15" s="386"/>
      <c r="J15" s="386"/>
      <c r="K15" s="386"/>
      <c r="L15" s="386"/>
      <c r="M15" s="386"/>
      <c r="N15" s="386"/>
      <c r="O15" s="386"/>
      <c r="P15" s="386"/>
      <c r="Q15" s="229"/>
      <c r="R15" s="225"/>
    </row>
    <row r="16" spans="1:18" ht="12.75" hidden="1" customHeight="1" x14ac:dyDescent="0.25">
      <c r="A16" s="386"/>
      <c r="B16" s="388"/>
      <c r="C16" s="386"/>
      <c r="D16" s="386"/>
      <c r="E16" s="386"/>
      <c r="F16" s="386"/>
      <c r="G16" s="386"/>
      <c r="H16" s="386"/>
      <c r="I16" s="386"/>
      <c r="J16" s="386"/>
      <c r="K16" s="386"/>
      <c r="L16" s="386"/>
      <c r="M16" s="386"/>
      <c r="N16" s="386"/>
      <c r="O16" s="386"/>
      <c r="P16" s="386"/>
      <c r="Q16" s="229"/>
      <c r="R16" s="225"/>
    </row>
    <row r="17" spans="1:25" ht="12.75" hidden="1" customHeight="1" x14ac:dyDescent="0.25">
      <c r="A17" s="386"/>
      <c r="B17" s="388"/>
      <c r="C17" s="386"/>
      <c r="D17" s="386"/>
      <c r="E17" s="386"/>
      <c r="F17" s="386"/>
      <c r="G17" s="386"/>
      <c r="H17" s="386"/>
      <c r="I17" s="386"/>
      <c r="J17" s="386"/>
      <c r="K17" s="386"/>
      <c r="L17" s="386"/>
      <c r="M17" s="386"/>
      <c r="N17" s="386"/>
      <c r="O17" s="386"/>
      <c r="P17" s="386"/>
      <c r="Q17" s="229"/>
      <c r="R17" s="225"/>
    </row>
    <row r="18" spans="1:25" ht="12.75" hidden="1" customHeight="1" x14ac:dyDescent="0.25">
      <c r="A18" s="386"/>
      <c r="B18" s="388"/>
      <c r="C18" s="386"/>
      <c r="D18" s="386"/>
      <c r="E18" s="386"/>
      <c r="F18" s="386"/>
      <c r="G18" s="386"/>
      <c r="H18" s="386"/>
      <c r="I18" s="386"/>
      <c r="J18" s="386"/>
      <c r="K18" s="386"/>
      <c r="L18" s="386"/>
      <c r="M18" s="386"/>
      <c r="N18" s="386"/>
      <c r="O18" s="386"/>
      <c r="P18" s="386"/>
      <c r="Q18" s="229"/>
      <c r="R18" s="225"/>
    </row>
    <row r="19" spans="1:25" ht="12.75" hidden="1" customHeight="1" x14ac:dyDescent="0.25">
      <c r="A19" s="386"/>
      <c r="B19" s="388"/>
      <c r="C19" s="386"/>
      <c r="D19" s="386"/>
      <c r="E19" s="386"/>
      <c r="F19" s="386"/>
      <c r="G19" s="386"/>
      <c r="H19" s="386"/>
      <c r="I19" s="386"/>
      <c r="J19" s="386"/>
      <c r="K19" s="386"/>
      <c r="L19" s="386"/>
      <c r="M19" s="386"/>
      <c r="N19" s="386"/>
      <c r="O19" s="386"/>
      <c r="P19" s="386"/>
      <c r="Q19" s="229"/>
      <c r="R19" s="225"/>
    </row>
    <row r="20" spans="1:25" ht="12.75" hidden="1" customHeight="1" x14ac:dyDescent="0.25">
      <c r="A20" s="386"/>
      <c r="B20" s="388"/>
      <c r="C20" s="386"/>
      <c r="D20" s="386"/>
      <c r="E20" s="386"/>
      <c r="F20" s="386"/>
      <c r="G20" s="386"/>
      <c r="H20" s="386"/>
      <c r="I20" s="386"/>
      <c r="J20" s="386"/>
      <c r="K20" s="386"/>
      <c r="L20" s="386"/>
      <c r="M20" s="386"/>
      <c r="N20" s="386"/>
      <c r="O20" s="386"/>
      <c r="P20" s="386"/>
      <c r="Q20" s="229"/>
      <c r="R20" s="225"/>
    </row>
    <row r="21" spans="1:25" s="113" customFormat="1" ht="12.75" customHeight="1" x14ac:dyDescent="0.2">
      <c r="A21" s="237"/>
      <c r="B21" s="238"/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</row>
    <row r="22" spans="1:25" s="116" customFormat="1" ht="18.75" thickBot="1" x14ac:dyDescent="0.3">
      <c r="A22" s="237"/>
      <c r="B22" s="239" t="str">
        <f>"Discounted Cash Flow Analysis for "&amp;Company</f>
        <v>Discounted Cash Flow Analysis for Sample Company</v>
      </c>
      <c r="C22" s="240"/>
      <c r="D22" s="241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2"/>
      <c r="R22" s="242"/>
      <c r="T22" s="357" t="s">
        <v>88</v>
      </c>
      <c r="U22" s="358"/>
      <c r="V22" s="358"/>
      <c r="W22" s="358"/>
      <c r="X22" s="358"/>
      <c r="Y22" s="359"/>
    </row>
    <row r="23" spans="1:25" s="116" customFormat="1" ht="13.15" customHeight="1" x14ac:dyDescent="0.2">
      <c r="A23" s="237"/>
      <c r="B23" s="243" t="str">
        <f>Subheader</f>
        <v>Dollars in millions, except per share</v>
      </c>
      <c r="C23" s="244"/>
      <c r="D23" s="245"/>
      <c r="E23" s="246"/>
      <c r="F23" s="246"/>
      <c r="G23" s="246"/>
      <c r="H23" s="246"/>
      <c r="I23" s="246"/>
      <c r="J23" s="246"/>
      <c r="K23" s="246"/>
      <c r="L23" s="246"/>
      <c r="M23" s="247"/>
      <c r="N23" s="246"/>
      <c r="O23" s="246"/>
      <c r="P23" s="246"/>
      <c r="Q23" s="242"/>
      <c r="R23" s="242"/>
      <c r="T23" s="355"/>
      <c r="U23" s="356"/>
      <c r="V23" s="356"/>
      <c r="W23" s="356"/>
      <c r="X23" s="356"/>
      <c r="Y23" s="360"/>
    </row>
    <row r="24" spans="1:25" s="116" customFormat="1" ht="12.75" customHeight="1" x14ac:dyDescent="0.2">
      <c r="A24" s="237"/>
      <c r="B24" s="248"/>
      <c r="C24" s="249"/>
      <c r="D24" s="250"/>
      <c r="E24" s="240"/>
      <c r="F24" s="240"/>
      <c r="G24" s="240"/>
      <c r="H24" s="240"/>
      <c r="I24" s="240"/>
      <c r="J24" s="240"/>
      <c r="K24" s="240"/>
      <c r="L24" s="240"/>
      <c r="M24" s="242"/>
      <c r="N24" s="240"/>
      <c r="O24" s="242"/>
      <c r="P24" s="242"/>
      <c r="Q24" s="242"/>
      <c r="R24" s="242"/>
      <c r="T24" s="355"/>
      <c r="U24" s="356"/>
      <c r="V24" s="356"/>
      <c r="W24" s="356"/>
      <c r="X24" s="356"/>
      <c r="Y24" s="360"/>
    </row>
    <row r="25" spans="1:25" s="116" customFormat="1" ht="12.75" customHeight="1" x14ac:dyDescent="0.2">
      <c r="A25" s="237"/>
      <c r="B25" s="248"/>
      <c r="C25" s="249"/>
      <c r="D25" s="250"/>
      <c r="E25" s="240"/>
      <c r="F25" s="240"/>
      <c r="G25" s="242"/>
      <c r="H25" s="242"/>
      <c r="I25" s="242"/>
      <c r="J25" s="242"/>
      <c r="K25" s="242"/>
      <c r="L25" s="242"/>
      <c r="M25" s="242"/>
      <c r="N25" s="242"/>
      <c r="O25" s="242"/>
      <c r="P25" s="251" t="str">
        <f>I27&amp;" - "&amp;N27</f>
        <v>2015 - 2020</v>
      </c>
      <c r="Q25" s="242"/>
      <c r="R25" s="242"/>
      <c r="T25" s="355"/>
      <c r="U25" s="356"/>
      <c r="V25" s="356"/>
      <c r="W25" s="356"/>
      <c r="X25" s="356"/>
      <c r="Y25" s="360"/>
    </row>
    <row r="26" spans="1:25" s="113" customFormat="1" ht="12.75" customHeight="1" x14ac:dyDescent="0.2">
      <c r="A26" s="237"/>
      <c r="B26" s="238"/>
      <c r="C26" s="238"/>
      <c r="D26" s="238"/>
      <c r="E26" s="238"/>
      <c r="F26" s="238"/>
      <c r="G26" s="252" t="s">
        <v>28</v>
      </c>
      <c r="H26" s="253"/>
      <c r="I26" s="254"/>
      <c r="J26" s="252" t="s">
        <v>29</v>
      </c>
      <c r="K26" s="255"/>
      <c r="L26" s="255"/>
      <c r="M26" s="255"/>
      <c r="N26" s="256"/>
      <c r="O26" s="238"/>
      <c r="P26" s="257" t="s">
        <v>30</v>
      </c>
      <c r="Q26" s="238"/>
      <c r="R26" s="238"/>
      <c r="T26" s="355"/>
      <c r="U26" s="356"/>
      <c r="V26" s="356"/>
      <c r="W26" s="356"/>
      <c r="X26" s="356"/>
      <c r="Y26" s="360"/>
    </row>
    <row r="27" spans="1:25" s="113" customFormat="1" ht="12.75" customHeight="1" x14ac:dyDescent="0.2">
      <c r="A27" s="237"/>
      <c r="B27" s="238"/>
      <c r="C27" s="238"/>
      <c r="D27" s="238"/>
      <c r="E27" s="238"/>
      <c r="F27" s="238"/>
      <c r="G27" s="379">
        <f>H27-1</f>
        <v>2013</v>
      </c>
      <c r="H27" s="379">
        <f>I27-1</f>
        <v>2014</v>
      </c>
      <c r="I27" s="380">
        <f>YEAR(FYE)</f>
        <v>2015</v>
      </c>
      <c r="J27" s="379">
        <f t="shared" ref="J27:N27" si="0">I27+1</f>
        <v>2016</v>
      </c>
      <c r="K27" s="379">
        <f t="shared" si="0"/>
        <v>2017</v>
      </c>
      <c r="L27" s="379">
        <f t="shared" si="0"/>
        <v>2018</v>
      </c>
      <c r="M27" s="379">
        <f t="shared" si="0"/>
        <v>2019</v>
      </c>
      <c r="N27" s="379">
        <f t="shared" si="0"/>
        <v>2020</v>
      </c>
      <c r="O27" s="238"/>
      <c r="P27" s="238"/>
      <c r="Q27" s="238"/>
      <c r="R27" s="238"/>
      <c r="T27" s="355"/>
      <c r="U27" s="356"/>
      <c r="V27" s="356"/>
      <c r="W27" s="356"/>
      <c r="X27" s="356"/>
      <c r="Y27" s="360"/>
    </row>
    <row r="28" spans="1:25" s="113" customFormat="1" ht="12.75" customHeight="1" x14ac:dyDescent="0.2">
      <c r="A28" s="237"/>
      <c r="B28" s="238"/>
      <c r="C28" s="238"/>
      <c r="D28" s="238"/>
      <c r="E28" s="238"/>
      <c r="F28" s="238"/>
      <c r="G28" s="238"/>
      <c r="H28" s="238"/>
      <c r="I28" s="258"/>
      <c r="J28" s="238"/>
      <c r="K28" s="238"/>
      <c r="L28" s="238"/>
      <c r="M28" s="238"/>
      <c r="N28" s="238"/>
      <c r="O28" s="238"/>
      <c r="P28" s="242"/>
      <c r="Q28" s="238"/>
      <c r="R28" s="238"/>
      <c r="T28" s="355"/>
      <c r="U28" s="356"/>
      <c r="V28" s="356"/>
      <c r="W28" s="356"/>
      <c r="X28" s="356"/>
      <c r="Y28" s="360"/>
    </row>
    <row r="29" spans="1:25" s="113" customFormat="1" ht="13.15" customHeight="1" x14ac:dyDescent="0.2">
      <c r="A29" s="354" t="s">
        <v>23</v>
      </c>
      <c r="B29" s="259" t="s">
        <v>31</v>
      </c>
      <c r="C29" s="259"/>
      <c r="D29" s="259"/>
      <c r="E29" s="238"/>
      <c r="F29" s="238"/>
      <c r="G29" s="260">
        <f>'DCF Solution'!G29</f>
        <v>4666</v>
      </c>
      <c r="H29" s="260">
        <f>'DCF Solution'!H29</f>
        <v>4791.8999999999996</v>
      </c>
      <c r="I29" s="261">
        <f>'DCF Solution'!I29</f>
        <v>4988.1000000000004</v>
      </c>
      <c r="J29" s="262">
        <f t="shared" ref="J29:N29" si="1">I29*(1+J51)</f>
        <v>5187.6240000000007</v>
      </c>
      <c r="K29" s="262">
        <f t="shared" si="1"/>
        <v>5395.1289600000009</v>
      </c>
      <c r="L29" s="262">
        <f t="shared" si="1"/>
        <v>5610.9341184000014</v>
      </c>
      <c r="M29" s="262">
        <f t="shared" si="1"/>
        <v>5835.3714831360012</v>
      </c>
      <c r="N29" s="262">
        <f t="shared" si="1"/>
        <v>6068.7863424614416</v>
      </c>
      <c r="O29" s="242"/>
      <c r="P29" s="263">
        <f>RATE($N$27-$I$27,0,I29,-N29)</f>
        <v>4.0000000000138314E-2</v>
      </c>
      <c r="Q29" s="242"/>
      <c r="R29" s="238"/>
      <c r="T29" s="355"/>
      <c r="U29" s="356"/>
      <c r="V29" s="356"/>
      <c r="W29" s="356"/>
      <c r="X29" s="356"/>
      <c r="Y29" s="360"/>
    </row>
    <row r="30" spans="1:25" s="113" customFormat="1" ht="13.15" customHeight="1" x14ac:dyDescent="0.2">
      <c r="A30" s="237"/>
      <c r="B30" s="259" t="s">
        <v>32</v>
      </c>
      <c r="C30" s="259"/>
      <c r="D30" s="259"/>
      <c r="E30" s="238"/>
      <c r="F30" s="238"/>
      <c r="G30" s="264">
        <f>'DCF Solution'!G30</f>
        <v>3498.8</v>
      </c>
      <c r="H30" s="264">
        <f>'DCF Solution'!H30</f>
        <v>3767.7</v>
      </c>
      <c r="I30" s="265">
        <f>'DCF Solution'!I30</f>
        <v>3893.1</v>
      </c>
      <c r="J30" s="266">
        <f t="shared" ref="J30:N30" si="2">J29*J52</f>
        <v>4046.3467200000009</v>
      </c>
      <c r="K30" s="266">
        <f t="shared" si="2"/>
        <v>4202.8054598400013</v>
      </c>
      <c r="L30" s="266">
        <f t="shared" si="2"/>
        <v>4365.3067441152016</v>
      </c>
      <c r="M30" s="266">
        <f t="shared" si="2"/>
        <v>4534.083642396673</v>
      </c>
      <c r="N30" s="266">
        <f t="shared" si="2"/>
        <v>4709.3782017500789</v>
      </c>
      <c r="O30" s="242"/>
      <c r="P30" s="267"/>
      <c r="Q30" s="242"/>
      <c r="R30" s="238"/>
      <c r="T30" s="355"/>
      <c r="U30" s="356"/>
      <c r="V30" s="356"/>
      <c r="W30" s="356"/>
      <c r="X30" s="356"/>
      <c r="Y30" s="360"/>
    </row>
    <row r="31" spans="1:25" s="113" customFormat="1" ht="13.15" customHeight="1" x14ac:dyDescent="0.2">
      <c r="A31" s="237"/>
      <c r="B31" s="259" t="s">
        <v>33</v>
      </c>
      <c r="C31" s="238"/>
      <c r="D31" s="259"/>
      <c r="E31" s="238"/>
      <c r="F31" s="238"/>
      <c r="G31" s="268">
        <f t="shared" ref="G31:N31" si="3">G29-G30</f>
        <v>1167.1999999999998</v>
      </c>
      <c r="H31" s="268">
        <f t="shared" si="3"/>
        <v>1024.1999999999998</v>
      </c>
      <c r="I31" s="269">
        <f t="shared" si="3"/>
        <v>1095.0000000000005</v>
      </c>
      <c r="J31" s="268">
        <f t="shared" si="3"/>
        <v>1141.2772799999998</v>
      </c>
      <c r="K31" s="268">
        <f t="shared" si="3"/>
        <v>1192.3235001599996</v>
      </c>
      <c r="L31" s="268">
        <f t="shared" si="3"/>
        <v>1245.6273742847998</v>
      </c>
      <c r="M31" s="268">
        <f t="shared" si="3"/>
        <v>1301.2878407393282</v>
      </c>
      <c r="N31" s="268">
        <f t="shared" si="3"/>
        <v>1359.4081407113626</v>
      </c>
      <c r="O31" s="242"/>
      <c r="P31" s="263">
        <f>RATE($N$27-$I$27,0,I31,-N31)</f>
        <v>4.4208320455121485E-2</v>
      </c>
      <c r="Q31" s="242"/>
      <c r="R31" s="238"/>
      <c r="T31" s="355"/>
      <c r="U31" s="356"/>
      <c r="V31" s="356"/>
      <c r="W31" s="356"/>
      <c r="X31" s="356"/>
      <c r="Y31" s="360"/>
    </row>
    <row r="32" spans="1:25" s="113" customFormat="1" ht="6" customHeight="1" x14ac:dyDescent="0.2">
      <c r="A32" s="237"/>
      <c r="B32" s="238"/>
      <c r="C32" s="238"/>
      <c r="D32" s="238"/>
      <c r="E32" s="238"/>
      <c r="F32" s="238"/>
      <c r="G32" s="270"/>
      <c r="H32" s="270"/>
      <c r="I32" s="271"/>
      <c r="J32" s="266"/>
      <c r="K32" s="266"/>
      <c r="L32" s="266"/>
      <c r="M32" s="266"/>
      <c r="N32" s="266"/>
      <c r="O32" s="242"/>
      <c r="P32" s="272"/>
      <c r="Q32" s="242"/>
      <c r="R32" s="238"/>
      <c r="T32" s="355"/>
      <c r="U32" s="356"/>
      <c r="V32" s="356"/>
      <c r="W32" s="356"/>
      <c r="X32" s="356"/>
      <c r="Y32" s="360"/>
    </row>
    <row r="33" spans="1:25" s="113" customFormat="1" ht="13.15" customHeight="1" x14ac:dyDescent="0.2">
      <c r="A33" s="237"/>
      <c r="B33" s="259" t="s">
        <v>34</v>
      </c>
      <c r="C33" s="259"/>
      <c r="D33" s="259"/>
      <c r="E33" s="238"/>
      <c r="F33" s="238"/>
      <c r="G33" s="264">
        <f>'DCF Solution'!G33</f>
        <v>316</v>
      </c>
      <c r="H33" s="264">
        <f>'DCF Solution'!H33</f>
        <v>306.10000000000002</v>
      </c>
      <c r="I33" s="265">
        <f>'DCF Solution'!I33</f>
        <v>280.3</v>
      </c>
      <c r="J33" s="266">
        <f t="shared" ref="J33:N33" si="4">J29*J53</f>
        <v>290.50694400000003</v>
      </c>
      <c r="K33" s="266">
        <f t="shared" si="4"/>
        <v>302.12722176000005</v>
      </c>
      <c r="L33" s="266">
        <f t="shared" si="4"/>
        <v>314.21231063040005</v>
      </c>
      <c r="M33" s="266">
        <f t="shared" si="4"/>
        <v>326.78080305561605</v>
      </c>
      <c r="N33" s="266">
        <f t="shared" si="4"/>
        <v>339.85203517784072</v>
      </c>
      <c r="O33" s="242"/>
      <c r="P33" s="267"/>
      <c r="Q33" s="242"/>
      <c r="R33" s="225"/>
      <c r="T33" s="355"/>
      <c r="U33" s="356"/>
      <c r="V33" s="356"/>
      <c r="W33" s="356"/>
      <c r="X33" s="356"/>
      <c r="Y33" s="360"/>
    </row>
    <row r="34" spans="1:25" s="113" customFormat="1" ht="13.15" customHeight="1" x14ac:dyDescent="0.2">
      <c r="A34" s="237"/>
      <c r="B34" s="259" t="s">
        <v>35</v>
      </c>
      <c r="C34" s="259"/>
      <c r="D34" s="259"/>
      <c r="E34" s="238"/>
      <c r="F34" s="238"/>
      <c r="G34" s="268">
        <f t="shared" ref="G34:N34" si="5">G31-G33</f>
        <v>851.19999999999982</v>
      </c>
      <c r="H34" s="268">
        <f t="shared" si="5"/>
        <v>718.0999999999998</v>
      </c>
      <c r="I34" s="269">
        <f t="shared" si="5"/>
        <v>814.7000000000005</v>
      </c>
      <c r="J34" s="268">
        <f t="shared" si="5"/>
        <v>850.77033599999982</v>
      </c>
      <c r="K34" s="268">
        <f t="shared" si="5"/>
        <v>890.19627839999953</v>
      </c>
      <c r="L34" s="268">
        <f t="shared" si="5"/>
        <v>931.41506365439977</v>
      </c>
      <c r="M34" s="268">
        <f t="shared" si="5"/>
        <v>974.50703768371216</v>
      </c>
      <c r="N34" s="268">
        <f t="shared" si="5"/>
        <v>1019.556105533522</v>
      </c>
      <c r="O34" s="242"/>
      <c r="P34" s="263">
        <f>RATE($N$27-$I$27,0,I34,-N34)</f>
        <v>4.5881985509766958E-2</v>
      </c>
      <c r="Q34" s="242"/>
      <c r="R34" s="225"/>
      <c r="T34" s="355"/>
      <c r="U34" s="356"/>
      <c r="V34" s="356"/>
      <c r="W34" s="356"/>
      <c r="X34" s="356"/>
      <c r="Y34" s="360"/>
    </row>
    <row r="35" spans="1:25" s="113" customFormat="1" ht="13.15" customHeight="1" x14ac:dyDescent="0.2">
      <c r="A35" s="237"/>
      <c r="B35" s="259" t="s">
        <v>36</v>
      </c>
      <c r="C35" s="259"/>
      <c r="D35" s="259"/>
      <c r="E35" s="238"/>
      <c r="F35" s="238"/>
      <c r="G35" s="264">
        <f>'DCF Solution'!G35</f>
        <v>-85</v>
      </c>
      <c r="H35" s="264">
        <f>'DCF Solution'!H35</f>
        <v>-90</v>
      </c>
      <c r="I35" s="265">
        <f>'DCF Solution'!I35</f>
        <v>-115.1</v>
      </c>
      <c r="J35" s="266">
        <f t="shared" ref="J35:N35" si="6">J56*J42</f>
        <v>-127.09678800000002</v>
      </c>
      <c r="K35" s="266">
        <f t="shared" si="6"/>
        <v>-132.85505064</v>
      </c>
      <c r="L35" s="266">
        <f t="shared" si="6"/>
        <v>-138.87061943040004</v>
      </c>
      <c r="M35" s="266">
        <f t="shared" si="6"/>
        <v>-145.15486564300804</v>
      </c>
      <c r="N35" s="266">
        <f t="shared" si="6"/>
        <v>-151.71965856153605</v>
      </c>
      <c r="O35" s="242"/>
      <c r="P35" s="267"/>
      <c r="Q35" s="242"/>
      <c r="R35" s="225"/>
      <c r="T35" s="355"/>
      <c r="U35" s="356"/>
      <c r="V35" s="356"/>
      <c r="W35" s="356"/>
      <c r="X35" s="356"/>
      <c r="Y35" s="360"/>
    </row>
    <row r="36" spans="1:25" s="113" customFormat="1" ht="13.15" customHeight="1" x14ac:dyDescent="0.2">
      <c r="A36" s="237"/>
      <c r="B36" s="259" t="s">
        <v>37</v>
      </c>
      <c r="C36" s="259"/>
      <c r="D36" s="259"/>
      <c r="E36" s="238"/>
      <c r="F36" s="238"/>
      <c r="G36" s="264">
        <f>'DCF Solution'!G36</f>
        <v>-0.5</v>
      </c>
      <c r="H36" s="264">
        <f>'DCF Solution'!H36</f>
        <v>-1.9</v>
      </c>
      <c r="I36" s="265">
        <f>'DCF Solution'!I36</f>
        <v>-3.4</v>
      </c>
      <c r="J36" s="266">
        <f t="shared" ref="J36:N36" si="7">-J58</f>
        <v>-4.5</v>
      </c>
      <c r="K36" s="266">
        <f t="shared" si="7"/>
        <v>-4.5999999999999996</v>
      </c>
      <c r="L36" s="266">
        <f t="shared" si="7"/>
        <v>-4.6999999999999993</v>
      </c>
      <c r="M36" s="266">
        <f t="shared" si="7"/>
        <v>-4.7999999999999989</v>
      </c>
      <c r="N36" s="266">
        <f t="shared" si="7"/>
        <v>-4.8999999999999986</v>
      </c>
      <c r="O36" s="242"/>
      <c r="P36" s="267"/>
      <c r="Q36" s="242"/>
      <c r="R36" s="225"/>
      <c r="T36" s="355"/>
      <c r="U36" s="356"/>
      <c r="V36" s="356"/>
      <c r="W36" s="356"/>
      <c r="X36" s="356"/>
      <c r="Y36" s="360"/>
    </row>
    <row r="37" spans="1:25" s="113" customFormat="1" ht="13.15" customHeight="1" x14ac:dyDescent="0.2">
      <c r="A37" s="237"/>
      <c r="B37" s="259" t="s">
        <v>38</v>
      </c>
      <c r="C37" s="259"/>
      <c r="D37" s="259"/>
      <c r="E37" s="238"/>
      <c r="F37" s="270"/>
      <c r="G37" s="268">
        <f>SUM(G34:G36)</f>
        <v>765.69999999999982</v>
      </c>
      <c r="H37" s="268">
        <f t="shared" ref="H37:N37" si="8">SUM(H34:H36)</f>
        <v>626.19999999999982</v>
      </c>
      <c r="I37" s="269">
        <f t="shared" si="8"/>
        <v>696.2000000000005</v>
      </c>
      <c r="J37" s="268">
        <f t="shared" si="8"/>
        <v>719.17354799999976</v>
      </c>
      <c r="K37" s="268">
        <f t="shared" si="8"/>
        <v>752.74122775999956</v>
      </c>
      <c r="L37" s="268">
        <f t="shared" si="8"/>
        <v>787.84444422399974</v>
      </c>
      <c r="M37" s="268">
        <f t="shared" si="8"/>
        <v>824.55217204070414</v>
      </c>
      <c r="N37" s="268">
        <f t="shared" si="8"/>
        <v>862.9364469719859</v>
      </c>
      <c r="O37" s="242"/>
      <c r="P37" s="263">
        <f>RATE($N$27-$I$27,0,I37,-N37)</f>
        <v>4.3876110382791864E-2</v>
      </c>
      <c r="Q37" s="242"/>
      <c r="R37" s="225"/>
      <c r="T37" s="355"/>
      <c r="U37" s="356"/>
      <c r="V37" s="356"/>
      <c r="W37" s="356"/>
      <c r="X37" s="356"/>
      <c r="Y37" s="360"/>
    </row>
    <row r="38" spans="1:25" s="113" customFormat="1" ht="13.15" customHeight="1" x14ac:dyDescent="0.2">
      <c r="A38" s="237"/>
      <c r="B38" s="259" t="s">
        <v>39</v>
      </c>
      <c r="C38" s="259"/>
      <c r="D38" s="259"/>
      <c r="E38" s="273">
        <f>'DCF Solution'!E38</f>
        <v>0.38</v>
      </c>
      <c r="F38" s="238"/>
      <c r="G38" s="266">
        <f t="shared" ref="G38:N38" si="9">-G37*$E$38</f>
        <v>-290.96599999999995</v>
      </c>
      <c r="H38" s="266">
        <f t="shared" si="9"/>
        <v>-237.95599999999993</v>
      </c>
      <c r="I38" s="271">
        <f t="shared" si="9"/>
        <v>-264.55600000000021</v>
      </c>
      <c r="J38" s="266">
        <f t="shared" si="9"/>
        <v>-273.28594823999993</v>
      </c>
      <c r="K38" s="266">
        <f t="shared" si="9"/>
        <v>-286.04166654879981</v>
      </c>
      <c r="L38" s="266">
        <f t="shared" si="9"/>
        <v>-299.38088880511992</v>
      </c>
      <c r="M38" s="266">
        <f t="shared" si="9"/>
        <v>-313.32982537546758</v>
      </c>
      <c r="N38" s="266">
        <f t="shared" si="9"/>
        <v>-327.91584984935463</v>
      </c>
      <c r="O38" s="242"/>
      <c r="P38" s="272"/>
      <c r="Q38" s="242"/>
      <c r="R38" s="242"/>
      <c r="T38" s="355"/>
      <c r="U38" s="356"/>
      <c r="V38" s="356"/>
      <c r="W38" s="356"/>
      <c r="X38" s="356"/>
      <c r="Y38" s="360"/>
    </row>
    <row r="39" spans="1:25" s="113" customFormat="1" ht="13.15" customHeight="1" x14ac:dyDescent="0.2">
      <c r="A39" s="354" t="s">
        <v>23</v>
      </c>
      <c r="B39" s="259" t="s">
        <v>40</v>
      </c>
      <c r="C39" s="259"/>
      <c r="D39" s="259"/>
      <c r="E39" s="238"/>
      <c r="F39" s="238"/>
      <c r="G39" s="268">
        <f>SUM(G37:G38)</f>
        <v>474.73399999999987</v>
      </c>
      <c r="H39" s="268">
        <f t="shared" ref="H39:N39" si="10">SUM(H37:H38)</f>
        <v>388.24399999999991</v>
      </c>
      <c r="I39" s="269">
        <f t="shared" si="10"/>
        <v>431.64400000000029</v>
      </c>
      <c r="J39" s="268">
        <f t="shared" si="10"/>
        <v>445.88759975999983</v>
      </c>
      <c r="K39" s="268">
        <f t="shared" si="10"/>
        <v>466.69956121119975</v>
      </c>
      <c r="L39" s="268">
        <f t="shared" si="10"/>
        <v>488.46355541887982</v>
      </c>
      <c r="M39" s="268">
        <f t="shared" si="10"/>
        <v>511.22234666523656</v>
      </c>
      <c r="N39" s="268">
        <f t="shared" si="10"/>
        <v>535.02059712263122</v>
      </c>
      <c r="O39" s="242"/>
      <c r="P39" s="263">
        <f>RATE($N$27-$I$27,0,I39,-N39)</f>
        <v>4.3876110382792086E-2</v>
      </c>
      <c r="Q39" s="242"/>
      <c r="R39" s="238"/>
      <c r="T39" s="355"/>
      <c r="U39" s="356"/>
      <c r="V39" s="356"/>
      <c r="W39" s="356"/>
      <c r="X39" s="356"/>
      <c r="Y39" s="360"/>
    </row>
    <row r="40" spans="1:25" s="113" customFormat="1" ht="6" customHeight="1" x14ac:dyDescent="0.2">
      <c r="A40" s="237"/>
      <c r="B40" s="238"/>
      <c r="C40" s="238"/>
      <c r="D40" s="238"/>
      <c r="E40" s="238"/>
      <c r="F40" s="238"/>
      <c r="G40" s="270"/>
      <c r="H40" s="270"/>
      <c r="I40" s="271"/>
      <c r="J40" s="270"/>
      <c r="K40" s="270"/>
      <c r="L40" s="270"/>
      <c r="M40" s="270"/>
      <c r="N40" s="270"/>
      <c r="O40" s="242"/>
      <c r="P40" s="272"/>
      <c r="Q40" s="242"/>
      <c r="R40" s="238"/>
      <c r="T40" s="355"/>
      <c r="U40" s="356"/>
      <c r="V40" s="356"/>
      <c r="W40" s="356"/>
      <c r="X40" s="356"/>
      <c r="Y40" s="360"/>
    </row>
    <row r="41" spans="1:25" s="113" customFormat="1" ht="13.15" customHeight="1" x14ac:dyDescent="0.2">
      <c r="A41" s="237"/>
      <c r="B41" s="259" t="s">
        <v>42</v>
      </c>
      <c r="C41" s="259"/>
      <c r="D41" s="259"/>
      <c r="E41" s="238"/>
      <c r="F41" s="238"/>
      <c r="G41" s="270"/>
      <c r="H41" s="270">
        <f t="shared" ref="H41:N41" si="11">-(H35+H36)</f>
        <v>91.9</v>
      </c>
      <c r="I41" s="271">
        <f t="shared" si="11"/>
        <v>118.5</v>
      </c>
      <c r="J41" s="270">
        <f t="shared" si="11"/>
        <v>131.596788</v>
      </c>
      <c r="K41" s="270">
        <f t="shared" si="11"/>
        <v>137.45505064</v>
      </c>
      <c r="L41" s="270">
        <f t="shared" si="11"/>
        <v>143.57061943040003</v>
      </c>
      <c r="M41" s="270">
        <f t="shared" si="11"/>
        <v>149.95486564300805</v>
      </c>
      <c r="N41" s="270">
        <f t="shared" si="11"/>
        <v>156.61965856153606</v>
      </c>
      <c r="O41" s="242"/>
      <c r="P41" s="272"/>
      <c r="Q41" s="242"/>
      <c r="R41" s="238"/>
      <c r="T41" s="355"/>
      <c r="U41" s="356"/>
      <c r="V41" s="356"/>
      <c r="W41" s="356"/>
      <c r="X41" s="356"/>
      <c r="Y41" s="360"/>
    </row>
    <row r="42" spans="1:25" s="113" customFormat="1" ht="13.15" customHeight="1" x14ac:dyDescent="0.2">
      <c r="A42" s="237"/>
      <c r="B42" s="259" t="s">
        <v>45</v>
      </c>
      <c r="C42" s="259"/>
      <c r="D42" s="259"/>
      <c r="E42" s="238"/>
      <c r="F42" s="238"/>
      <c r="G42" s="270"/>
      <c r="H42" s="264">
        <f>'DCF Solution'!H42</f>
        <v>-95.8</v>
      </c>
      <c r="I42" s="265">
        <f>'DCF Solution'!I42</f>
        <v>-120.6</v>
      </c>
      <c r="J42" s="266">
        <f>-J55*J29</f>
        <v>-129.69060000000002</v>
      </c>
      <c r="K42" s="266">
        <f t="shared" ref="K42:N42" si="12">-K55*K29</f>
        <v>-134.87822400000002</v>
      </c>
      <c r="L42" s="266">
        <f t="shared" si="12"/>
        <v>-140.27335296000004</v>
      </c>
      <c r="M42" s="266">
        <f t="shared" si="12"/>
        <v>-145.88428707840004</v>
      </c>
      <c r="N42" s="266">
        <f t="shared" si="12"/>
        <v>-151.71965856153605</v>
      </c>
      <c r="O42" s="242"/>
      <c r="P42" s="272"/>
      <c r="Q42" s="242"/>
      <c r="R42" s="238"/>
      <c r="T42" s="355"/>
      <c r="U42" s="356"/>
      <c r="V42" s="356"/>
      <c r="W42" s="356"/>
      <c r="X42" s="356"/>
      <c r="Y42" s="360"/>
    </row>
    <row r="43" spans="1:25" s="113" customFormat="1" ht="13.15" customHeight="1" x14ac:dyDescent="0.2">
      <c r="A43" s="237"/>
      <c r="B43" s="259" t="s">
        <v>49</v>
      </c>
      <c r="C43" s="259"/>
      <c r="D43" s="259"/>
      <c r="E43" s="238"/>
      <c r="F43" s="238"/>
      <c r="G43" s="270"/>
      <c r="H43" s="264">
        <f>'DCF Solution'!H43</f>
        <v>-2</v>
      </c>
      <c r="I43" s="265">
        <f>'DCF Solution'!I43</f>
        <v>-4</v>
      </c>
      <c r="J43" s="266">
        <f t="shared" ref="J43:N43" si="13">-J57</f>
        <v>-5</v>
      </c>
      <c r="K43" s="266">
        <f t="shared" si="13"/>
        <v>-5</v>
      </c>
      <c r="L43" s="266">
        <f t="shared" si="13"/>
        <v>-5</v>
      </c>
      <c r="M43" s="266">
        <f t="shared" si="13"/>
        <v>-5</v>
      </c>
      <c r="N43" s="266">
        <f t="shared" si="13"/>
        <v>-5</v>
      </c>
      <c r="O43" s="242"/>
      <c r="P43" s="272"/>
      <c r="Q43" s="242"/>
      <c r="R43" s="238"/>
      <c r="T43" s="355"/>
      <c r="U43" s="356"/>
      <c r="V43" s="356"/>
      <c r="W43" s="356"/>
      <c r="X43" s="356"/>
      <c r="Y43" s="360"/>
    </row>
    <row r="44" spans="1:25" s="113" customFormat="1" ht="13.15" customHeight="1" x14ac:dyDescent="0.2">
      <c r="A44" s="237"/>
      <c r="B44" s="274" t="s">
        <v>53</v>
      </c>
      <c r="C44" s="259"/>
      <c r="D44" s="259"/>
      <c r="E44" s="259"/>
      <c r="F44" s="259"/>
      <c r="G44" s="270"/>
      <c r="H44" s="264">
        <f>'DCF Solution'!H44</f>
        <v>-19.2</v>
      </c>
      <c r="I44" s="265">
        <f>'DCF Solution'!I44</f>
        <v>-20</v>
      </c>
      <c r="J44" s="266">
        <f t="shared" ref="J44:N44" si="14">J59*J29</f>
        <v>-20.750496000000002</v>
      </c>
      <c r="K44" s="266">
        <f t="shared" si="14"/>
        <v>-21.580515840000004</v>
      </c>
      <c r="L44" s="266">
        <f t="shared" si="14"/>
        <v>-22.443736473600005</v>
      </c>
      <c r="M44" s="266">
        <f t="shared" si="14"/>
        <v>-23.341485932544007</v>
      </c>
      <c r="N44" s="266">
        <f t="shared" si="14"/>
        <v>-24.275145369845767</v>
      </c>
      <c r="O44" s="242"/>
      <c r="P44" s="272"/>
      <c r="Q44" s="275"/>
      <c r="R44" s="242"/>
      <c r="T44" s="355"/>
      <c r="U44" s="356"/>
      <c r="V44" s="356"/>
      <c r="W44" s="356"/>
      <c r="X44" s="356"/>
      <c r="Y44" s="360"/>
    </row>
    <row r="45" spans="1:25" s="153" customFormat="1" ht="13.15" customHeight="1" x14ac:dyDescent="0.2">
      <c r="A45" s="354" t="s">
        <v>23</v>
      </c>
      <c r="B45" s="276" t="s">
        <v>54</v>
      </c>
      <c r="C45" s="276"/>
      <c r="D45" s="276"/>
      <c r="E45" s="240"/>
      <c r="F45" s="240"/>
      <c r="G45" s="277"/>
      <c r="H45" s="278">
        <f>SUM(H39:H44)</f>
        <v>363.14399999999989</v>
      </c>
      <c r="I45" s="279">
        <f>SUM(I39:I44)</f>
        <v>405.54400000000021</v>
      </c>
      <c r="J45" s="278">
        <f t="shared" ref="J45:N45" si="15">SUM(J39:J44)</f>
        <v>422.04329175999987</v>
      </c>
      <c r="K45" s="278">
        <f t="shared" si="15"/>
        <v>442.69587201119975</v>
      </c>
      <c r="L45" s="278">
        <f t="shared" si="15"/>
        <v>464.31708541567991</v>
      </c>
      <c r="M45" s="278">
        <f t="shared" si="15"/>
        <v>486.95143929730062</v>
      </c>
      <c r="N45" s="278">
        <f t="shared" si="15"/>
        <v>510.64545175278556</v>
      </c>
      <c r="O45" s="240"/>
      <c r="P45" s="280">
        <f>RATE($N$27-$I$27,0,I45,-N45)</f>
        <v>4.7167843799333226E-2</v>
      </c>
      <c r="Q45" s="240"/>
      <c r="R45" s="240"/>
      <c r="T45" s="355"/>
      <c r="U45" s="361"/>
      <c r="V45" s="361"/>
      <c r="W45" s="361"/>
      <c r="X45" s="361"/>
      <c r="Y45" s="362"/>
    </row>
    <row r="46" spans="1:25" s="153" customFormat="1" ht="13.15" customHeight="1" x14ac:dyDescent="0.2">
      <c r="A46" s="237"/>
      <c r="B46" s="276"/>
      <c r="C46" s="276"/>
      <c r="D46" s="276"/>
      <c r="E46" s="240"/>
      <c r="F46" s="240"/>
      <c r="G46" s="277"/>
      <c r="H46" s="282"/>
      <c r="I46" s="282"/>
      <c r="J46" s="282"/>
      <c r="K46" s="282"/>
      <c r="L46" s="282"/>
      <c r="M46" s="282"/>
      <c r="N46" s="282"/>
      <c r="O46" s="240"/>
      <c r="P46" s="283"/>
      <c r="Q46" s="240"/>
      <c r="R46" s="240"/>
      <c r="T46" s="355"/>
      <c r="U46" s="361"/>
      <c r="V46" s="361"/>
      <c r="W46" s="361"/>
      <c r="X46" s="361"/>
      <c r="Y46" s="362"/>
    </row>
    <row r="47" spans="1:25" s="116" customFormat="1" ht="13.15" customHeight="1" x14ac:dyDescent="0.2">
      <c r="A47" s="237"/>
      <c r="B47" s="284"/>
      <c r="C47" s="284"/>
      <c r="D47" s="284"/>
      <c r="E47" s="249"/>
      <c r="F47" s="249"/>
      <c r="G47" s="242"/>
      <c r="H47" s="285"/>
      <c r="I47" s="285"/>
      <c r="J47" s="285"/>
      <c r="K47" s="285"/>
      <c r="L47" s="285"/>
      <c r="M47" s="285"/>
      <c r="N47" s="285"/>
      <c r="O47" s="242"/>
      <c r="P47" s="242"/>
      <c r="Q47" s="242"/>
      <c r="R47" s="242"/>
      <c r="T47" s="355"/>
      <c r="U47" s="356"/>
      <c r="V47" s="356"/>
      <c r="W47" s="356"/>
      <c r="X47" s="356"/>
      <c r="Y47" s="360"/>
    </row>
    <row r="48" spans="1:25" s="113" customFormat="1" ht="12.75" customHeight="1" x14ac:dyDescent="0.2">
      <c r="A48" s="237"/>
      <c r="B48" s="238"/>
      <c r="C48" s="238"/>
      <c r="D48" s="238"/>
      <c r="E48" s="238"/>
      <c r="F48" s="238"/>
      <c r="G48" s="252" t="s">
        <v>28</v>
      </c>
      <c r="H48" s="253"/>
      <c r="I48" s="254"/>
      <c r="J48" s="252" t="s">
        <v>29</v>
      </c>
      <c r="K48" s="255"/>
      <c r="L48" s="255"/>
      <c r="M48" s="255"/>
      <c r="N48" s="256"/>
      <c r="O48" s="238"/>
      <c r="P48" s="238"/>
      <c r="Q48" s="238"/>
      <c r="R48" s="238"/>
      <c r="T48" s="355"/>
      <c r="U48" s="356"/>
      <c r="V48" s="356"/>
      <c r="W48" s="356"/>
      <c r="X48" s="356"/>
      <c r="Y48" s="360"/>
    </row>
    <row r="49" spans="1:25" s="113" customFormat="1" ht="13.15" customHeight="1" x14ac:dyDescent="0.2">
      <c r="A49" s="237"/>
      <c r="B49" s="286" t="s">
        <v>55</v>
      </c>
      <c r="C49" s="238"/>
      <c r="D49" s="238"/>
      <c r="E49" s="238"/>
      <c r="F49" s="238"/>
      <c r="G49" s="379">
        <f t="shared" ref="G49:N49" si="16">G27</f>
        <v>2013</v>
      </c>
      <c r="H49" s="379">
        <f t="shared" si="16"/>
        <v>2014</v>
      </c>
      <c r="I49" s="380">
        <f t="shared" si="16"/>
        <v>2015</v>
      </c>
      <c r="J49" s="379">
        <f t="shared" si="16"/>
        <v>2016</v>
      </c>
      <c r="K49" s="379">
        <f t="shared" si="16"/>
        <v>2017</v>
      </c>
      <c r="L49" s="379">
        <f t="shared" si="16"/>
        <v>2018</v>
      </c>
      <c r="M49" s="379">
        <f t="shared" si="16"/>
        <v>2019</v>
      </c>
      <c r="N49" s="379">
        <f t="shared" si="16"/>
        <v>2020</v>
      </c>
      <c r="O49" s="238"/>
      <c r="P49" s="242"/>
      <c r="Q49" s="287" t="s">
        <v>56</v>
      </c>
      <c r="R49" s="238"/>
      <c r="T49" s="355"/>
      <c r="U49" s="356"/>
      <c r="V49" s="356"/>
      <c r="W49" s="356"/>
      <c r="X49" s="356"/>
      <c r="Y49" s="360"/>
    </row>
    <row r="50" spans="1:25" s="113" customFormat="1" ht="12.75" customHeight="1" x14ac:dyDescent="0.2">
      <c r="A50" s="237"/>
      <c r="B50" s="238"/>
      <c r="C50" s="238"/>
      <c r="D50" s="238"/>
      <c r="E50" s="238"/>
      <c r="F50" s="238"/>
      <c r="G50" s="242"/>
      <c r="H50" s="242"/>
      <c r="I50" s="258"/>
      <c r="J50" s="242"/>
      <c r="K50" s="242"/>
      <c r="L50" s="242"/>
      <c r="M50" s="242"/>
      <c r="N50" s="242"/>
      <c r="O50" s="238"/>
      <c r="P50" s="242"/>
      <c r="Q50" s="238"/>
      <c r="R50" s="238"/>
      <c r="T50" s="363"/>
      <c r="U50" s="364"/>
      <c r="V50" s="364"/>
      <c r="W50" s="364"/>
      <c r="X50" s="364"/>
      <c r="Y50" s="365"/>
    </row>
    <row r="51" spans="1:25" s="116" customFormat="1" ht="13.15" customHeight="1" x14ac:dyDescent="0.2">
      <c r="A51" s="237"/>
      <c r="B51" s="242"/>
      <c r="C51" s="291" t="s">
        <v>57</v>
      </c>
      <c r="D51" s="242"/>
      <c r="E51" s="242"/>
      <c r="F51" s="242"/>
      <c r="G51" s="534"/>
      <c r="H51" s="263">
        <f>H29/G29-1</f>
        <v>2.6982426060865761E-2</v>
      </c>
      <c r="I51" s="292">
        <f>I29/H29-1</f>
        <v>4.0944093157202932E-2</v>
      </c>
      <c r="J51" s="273">
        <f>'DCF Solution'!J51</f>
        <v>0.04</v>
      </c>
      <c r="K51" s="263">
        <f t="shared" ref="K51:N53" si="17">J51</f>
        <v>0.04</v>
      </c>
      <c r="L51" s="263">
        <f t="shared" si="17"/>
        <v>0.04</v>
      </c>
      <c r="M51" s="263">
        <f t="shared" si="17"/>
        <v>0.04</v>
      </c>
      <c r="N51" s="263">
        <f t="shared" si="17"/>
        <v>0.04</v>
      </c>
      <c r="O51" s="242"/>
      <c r="P51" s="242"/>
      <c r="Q51" s="293"/>
      <c r="R51" s="242"/>
      <c r="T51" s="113"/>
      <c r="U51" s="113"/>
      <c r="V51" s="113"/>
      <c r="W51" s="113"/>
      <c r="X51" s="113"/>
      <c r="Y51" s="113"/>
    </row>
    <row r="52" spans="1:25" s="113" customFormat="1" ht="13.15" customHeight="1" x14ac:dyDescent="0.2">
      <c r="A52" s="237"/>
      <c r="B52" s="242"/>
      <c r="C52" s="291" t="s">
        <v>58</v>
      </c>
      <c r="D52" s="238"/>
      <c r="E52" s="238"/>
      <c r="F52" s="242"/>
      <c r="G52" s="263">
        <f>G30/G29</f>
        <v>0.74984997856836699</v>
      </c>
      <c r="H52" s="263">
        <f t="shared" ref="H52:I52" si="18">H30/H29</f>
        <v>0.78626432104175803</v>
      </c>
      <c r="I52" s="292">
        <f t="shared" si="18"/>
        <v>0.78047753653695784</v>
      </c>
      <c r="J52" s="273">
        <f>'DCF Solution'!J52</f>
        <v>0.78</v>
      </c>
      <c r="K52" s="263">
        <f t="shared" ref="K52:N52" si="19">J52+$Q52</f>
        <v>0.77900000000000003</v>
      </c>
      <c r="L52" s="263">
        <f t="shared" si="19"/>
        <v>0.77800000000000002</v>
      </c>
      <c r="M52" s="263">
        <f t="shared" si="19"/>
        <v>0.77700000000000002</v>
      </c>
      <c r="N52" s="263">
        <f t="shared" si="19"/>
        <v>0.77600000000000002</v>
      </c>
      <c r="O52" s="238"/>
      <c r="P52" s="238"/>
      <c r="Q52" s="293">
        <f>'DCF Solution'!Q52</f>
        <v>-1E-3</v>
      </c>
      <c r="R52" s="238"/>
    </row>
    <row r="53" spans="1:25" s="113" customFormat="1" ht="13.15" customHeight="1" x14ac:dyDescent="0.2">
      <c r="A53" s="237"/>
      <c r="B53" s="242"/>
      <c r="C53" s="291" t="s">
        <v>59</v>
      </c>
      <c r="D53" s="238"/>
      <c r="E53" s="238"/>
      <c r="F53" s="242"/>
      <c r="G53" s="263">
        <f>G33/G29</f>
        <v>6.7723960565795119E-2</v>
      </c>
      <c r="H53" s="263">
        <f>H33/H29</f>
        <v>6.3878628518959091E-2</v>
      </c>
      <c r="I53" s="292">
        <f>I33/I29</f>
        <v>5.6193741103827105E-2</v>
      </c>
      <c r="J53" s="273">
        <f>'DCF Solution'!J53</f>
        <v>5.6000000000000001E-2</v>
      </c>
      <c r="K53" s="263">
        <f t="shared" si="17"/>
        <v>5.6000000000000001E-2</v>
      </c>
      <c r="L53" s="263">
        <f t="shared" si="17"/>
        <v>5.6000000000000001E-2</v>
      </c>
      <c r="M53" s="263">
        <f t="shared" si="17"/>
        <v>5.6000000000000001E-2</v>
      </c>
      <c r="N53" s="263">
        <f t="shared" si="17"/>
        <v>5.6000000000000001E-2</v>
      </c>
      <c r="O53" s="238"/>
      <c r="P53" s="238"/>
      <c r="Q53" s="293"/>
      <c r="R53" s="238"/>
    </row>
    <row r="54" spans="1:25" s="113" customFormat="1" ht="13.15" customHeight="1" x14ac:dyDescent="0.2">
      <c r="A54" s="237"/>
      <c r="B54" s="238"/>
      <c r="C54" s="303" t="s">
        <v>60</v>
      </c>
      <c r="D54" s="238"/>
      <c r="E54" s="238"/>
      <c r="F54" s="238"/>
      <c r="G54" s="263">
        <f>G34/G29</f>
        <v>0.18242606086583793</v>
      </c>
      <c r="H54" s="263">
        <f t="shared" ref="H54:N54" si="20">H34/H29</f>
        <v>0.14985705043928294</v>
      </c>
      <c r="I54" s="292">
        <f t="shared" si="20"/>
        <v>0.16332872235921503</v>
      </c>
      <c r="J54" s="263">
        <f t="shared" si="20"/>
        <v>0.16399999999999995</v>
      </c>
      <c r="K54" s="263">
        <f t="shared" si="20"/>
        <v>0.1649999999999999</v>
      </c>
      <c r="L54" s="263">
        <f t="shared" si="20"/>
        <v>0.16599999999999993</v>
      </c>
      <c r="M54" s="263">
        <f t="shared" si="20"/>
        <v>0.16699999999999998</v>
      </c>
      <c r="N54" s="263">
        <f t="shared" si="20"/>
        <v>0.16799999999999995</v>
      </c>
      <c r="O54" s="238"/>
      <c r="P54" s="238"/>
      <c r="Q54" s="293"/>
      <c r="R54" s="238"/>
      <c r="S54" s="238"/>
      <c r="T54" s="238"/>
      <c r="U54" s="238"/>
      <c r="V54" s="238"/>
      <c r="W54" s="238"/>
      <c r="X54" s="238"/>
    </row>
    <row r="55" spans="1:25" s="113" customFormat="1" ht="13.15" customHeight="1" x14ac:dyDescent="0.2">
      <c r="A55" s="237"/>
      <c r="B55" s="238"/>
      <c r="C55" s="303" t="s">
        <v>61</v>
      </c>
      <c r="D55" s="238"/>
      <c r="E55" s="238"/>
      <c r="F55" s="238"/>
      <c r="G55" s="238"/>
      <c r="H55" s="263">
        <f>IF(H29=0,0,-H42/H29)</f>
        <v>1.9992069951376281E-2</v>
      </c>
      <c r="I55" s="292">
        <f>IF(I29=0,0,-I42/I29)</f>
        <v>2.4177542551272024E-2</v>
      </c>
      <c r="J55" s="273">
        <f>'DCF Solution'!J55</f>
        <v>2.5000000000000001E-2</v>
      </c>
      <c r="K55" s="263">
        <f t="shared" ref="K55:N59" si="21">J55</f>
        <v>2.5000000000000001E-2</v>
      </c>
      <c r="L55" s="263">
        <f t="shared" si="21"/>
        <v>2.5000000000000001E-2</v>
      </c>
      <c r="M55" s="263">
        <f t="shared" si="21"/>
        <v>2.5000000000000001E-2</v>
      </c>
      <c r="N55" s="263">
        <f t="shared" si="21"/>
        <v>2.5000000000000001E-2</v>
      </c>
      <c r="O55" s="238"/>
      <c r="P55" s="238"/>
      <c r="Q55" s="293"/>
      <c r="R55" s="238"/>
      <c r="S55" s="238"/>
      <c r="T55" s="238"/>
      <c r="U55" s="238"/>
      <c r="V55" s="238"/>
      <c r="W55" s="238"/>
      <c r="X55" s="238"/>
    </row>
    <row r="56" spans="1:25" s="113" customFormat="1" ht="13.15" customHeight="1" x14ac:dyDescent="0.2">
      <c r="A56" s="237"/>
      <c r="B56" s="238"/>
      <c r="C56" s="303" t="s">
        <v>62</v>
      </c>
      <c r="D56" s="238"/>
      <c r="E56" s="238"/>
      <c r="F56" s="238"/>
      <c r="G56" s="535"/>
      <c r="H56" s="263">
        <f>IF(H42=0,0,H35/H42)</f>
        <v>0.93945720250521925</v>
      </c>
      <c r="I56" s="292">
        <f>IF(I42=0,0,I35/I42)</f>
        <v>0.95439469320066339</v>
      </c>
      <c r="J56" s="273">
        <f>'DCF Solution'!J56</f>
        <v>0.98</v>
      </c>
      <c r="K56" s="263">
        <f t="shared" ref="K56:N56" si="22">J56+$Q56</f>
        <v>0.98499999999999999</v>
      </c>
      <c r="L56" s="263">
        <f t="shared" si="22"/>
        <v>0.99</v>
      </c>
      <c r="M56" s="263">
        <f t="shared" si="22"/>
        <v>0.995</v>
      </c>
      <c r="N56" s="263">
        <f t="shared" si="22"/>
        <v>1</v>
      </c>
      <c r="O56" s="238"/>
      <c r="P56" s="238"/>
      <c r="Q56" s="293">
        <f>'DCF Solution'!Q56</f>
        <v>5.0000000000000001E-3</v>
      </c>
      <c r="R56" s="238"/>
      <c r="S56" s="238"/>
      <c r="T56" s="238"/>
      <c r="U56" s="238"/>
      <c r="V56" s="238"/>
      <c r="W56" s="238"/>
      <c r="X56" s="238"/>
    </row>
    <row r="57" spans="1:25" s="113" customFormat="1" ht="13.15" customHeight="1" x14ac:dyDescent="0.2">
      <c r="A57" s="237"/>
      <c r="B57" s="238"/>
      <c r="C57" s="303" t="s">
        <v>63</v>
      </c>
      <c r="D57" s="238"/>
      <c r="E57" s="238"/>
      <c r="F57" s="238"/>
      <c r="G57" s="238"/>
      <c r="H57" s="305">
        <f>-H43</f>
        <v>2</v>
      </c>
      <c r="I57" s="306">
        <f>-I43</f>
        <v>4</v>
      </c>
      <c r="J57" s="307">
        <f>'DCF Solution'!J57</f>
        <v>5</v>
      </c>
      <c r="K57" s="308">
        <f t="shared" si="21"/>
        <v>5</v>
      </c>
      <c r="L57" s="308">
        <f t="shared" si="21"/>
        <v>5</v>
      </c>
      <c r="M57" s="308">
        <f t="shared" si="21"/>
        <v>5</v>
      </c>
      <c r="N57" s="308">
        <f t="shared" si="21"/>
        <v>5</v>
      </c>
      <c r="O57" s="238"/>
      <c r="P57" s="238"/>
      <c r="Q57" s="307"/>
      <c r="R57" s="238"/>
    </row>
    <row r="58" spans="1:25" s="113" customFormat="1" ht="13.15" customHeight="1" x14ac:dyDescent="0.2">
      <c r="A58" s="237"/>
      <c r="B58" s="238"/>
      <c r="C58" s="303" t="s">
        <v>64</v>
      </c>
      <c r="D58" s="238"/>
      <c r="E58" s="238"/>
      <c r="F58" s="238"/>
      <c r="G58" s="238"/>
      <c r="H58" s="270">
        <f>-H36</f>
        <v>1.9</v>
      </c>
      <c r="I58" s="271">
        <f>-I36</f>
        <v>3.4</v>
      </c>
      <c r="J58" s="310">
        <f>'DCF Solution'!J58</f>
        <v>4.5</v>
      </c>
      <c r="K58" s="311">
        <f t="shared" ref="K58:N58" si="23">J58+$Q58</f>
        <v>4.5999999999999996</v>
      </c>
      <c r="L58" s="311">
        <f t="shared" si="23"/>
        <v>4.6999999999999993</v>
      </c>
      <c r="M58" s="311">
        <f t="shared" si="23"/>
        <v>4.7999999999999989</v>
      </c>
      <c r="N58" s="311">
        <f t="shared" si="23"/>
        <v>4.8999999999999986</v>
      </c>
      <c r="O58" s="238"/>
      <c r="P58" s="238"/>
      <c r="Q58" s="310">
        <f>'DCF Solution'!Q58</f>
        <v>0.1</v>
      </c>
      <c r="R58" s="238"/>
    </row>
    <row r="59" spans="1:25" s="113" customFormat="1" ht="13.15" customHeight="1" x14ac:dyDescent="0.2">
      <c r="A59" s="237"/>
      <c r="B59" s="238"/>
      <c r="C59" s="303" t="s">
        <v>65</v>
      </c>
      <c r="D59" s="238"/>
      <c r="E59" s="238"/>
      <c r="F59" s="238"/>
      <c r="G59" s="536"/>
      <c r="H59" s="263">
        <f>IF(H29=0,0,H44/H29)</f>
        <v>-4.0067614098791716E-3</v>
      </c>
      <c r="I59" s="292">
        <f>IF(I29=0,0,I44/I29)</f>
        <v>-4.0095427116537356E-3</v>
      </c>
      <c r="J59" s="273">
        <f>'DCF Solution'!J59</f>
        <v>-4.0000000000000001E-3</v>
      </c>
      <c r="K59" s="263">
        <f t="shared" si="21"/>
        <v>-4.0000000000000001E-3</v>
      </c>
      <c r="L59" s="263">
        <f t="shared" si="21"/>
        <v>-4.0000000000000001E-3</v>
      </c>
      <c r="M59" s="263">
        <f t="shared" si="21"/>
        <v>-4.0000000000000001E-3</v>
      </c>
      <c r="N59" s="263">
        <f t="shared" si="21"/>
        <v>-4.0000000000000001E-3</v>
      </c>
      <c r="O59" s="238"/>
      <c r="P59" s="238"/>
      <c r="Q59" s="293"/>
      <c r="R59" s="238"/>
    </row>
    <row r="60" spans="1:25" s="113" customFormat="1" ht="13.15" customHeight="1" x14ac:dyDescent="0.2">
      <c r="A60" s="237"/>
      <c r="B60" s="225"/>
      <c r="C60" s="225"/>
      <c r="D60" s="225"/>
      <c r="E60" s="225"/>
      <c r="F60" s="238"/>
      <c r="G60" s="259"/>
      <c r="H60" s="304"/>
      <c r="I60" s="304"/>
      <c r="J60" s="312"/>
      <c r="K60" s="313"/>
      <c r="L60" s="313"/>
      <c r="M60" s="313"/>
      <c r="N60" s="313"/>
      <c r="O60" s="238"/>
      <c r="P60" s="238"/>
      <c r="Q60" s="225"/>
      <c r="R60" s="238"/>
    </row>
    <row r="61" spans="1:25" ht="13.15" customHeight="1" x14ac:dyDescent="0.2">
      <c r="A61" s="237"/>
      <c r="B61" s="225"/>
      <c r="C61" s="314" t="s">
        <v>66</v>
      </c>
      <c r="D61" s="315"/>
      <c r="E61" s="316"/>
      <c r="F61" s="316"/>
      <c r="G61" s="317">
        <f>'DCF Solution'!G61</f>
        <v>0.08</v>
      </c>
      <c r="H61" s="225"/>
      <c r="I61" s="252" t="s">
        <v>67</v>
      </c>
      <c r="J61" s="318"/>
      <c r="K61" s="253"/>
      <c r="L61" s="253"/>
      <c r="M61" s="253"/>
      <c r="N61" s="254"/>
      <c r="O61" s="225"/>
      <c r="P61" s="225"/>
      <c r="Q61" s="225"/>
      <c r="R61" s="225"/>
    </row>
    <row r="62" spans="1:25" ht="13.15" customHeight="1" x14ac:dyDescent="0.2">
      <c r="A62" s="237"/>
      <c r="B62" s="225"/>
      <c r="C62" s="319" t="s">
        <v>68</v>
      </c>
      <c r="D62" s="320"/>
      <c r="E62" s="285"/>
      <c r="F62" s="285"/>
      <c r="G62" s="321">
        <f>'DCF Solution'!G62</f>
        <v>0.03</v>
      </c>
      <c r="H62" s="225"/>
      <c r="I62" s="225"/>
      <c r="J62" s="322"/>
      <c r="K62" s="323" t="s">
        <v>57</v>
      </c>
      <c r="L62" s="324"/>
      <c r="M62" s="324"/>
      <c r="N62" s="324"/>
      <c r="O62" s="225"/>
      <c r="P62" s="225"/>
      <c r="Q62" s="325" t="s">
        <v>69</v>
      </c>
      <c r="R62" s="326" t="s">
        <v>70</v>
      </c>
    </row>
    <row r="63" spans="1:25" ht="13.15" customHeight="1" x14ac:dyDescent="0.2">
      <c r="A63" s="237"/>
      <c r="B63" s="225"/>
      <c r="C63" s="225"/>
      <c r="D63" s="225"/>
      <c r="E63" s="225"/>
      <c r="F63" s="225"/>
      <c r="G63" s="225"/>
      <c r="H63" s="225"/>
      <c r="I63" s="225"/>
      <c r="J63" s="327">
        <f>G74</f>
        <v>35.318422253643227</v>
      </c>
      <c r="K63" s="273">
        <f>'DCF Solution'!K63</f>
        <v>0.03</v>
      </c>
      <c r="L63" s="329">
        <f>K63+$R$63</f>
        <v>3.4999999999999996E-2</v>
      </c>
      <c r="M63" s="329">
        <f>L63+$R$63</f>
        <v>3.9999999999999994E-2</v>
      </c>
      <c r="N63" s="329">
        <f>M63+$R$63</f>
        <v>4.4999999999999991E-2</v>
      </c>
      <c r="O63" s="225"/>
      <c r="P63" s="225"/>
      <c r="Q63" s="330">
        <f>'DCF Solution'!Q63</f>
        <v>3.0000000000000001E-3</v>
      </c>
      <c r="R63" s="330">
        <f>'DCF Solution'!R63</f>
        <v>5.0000000000000001E-3</v>
      </c>
    </row>
    <row r="64" spans="1:25" ht="13.15" customHeight="1" x14ac:dyDescent="0.2">
      <c r="A64" s="237"/>
      <c r="B64" s="225"/>
      <c r="C64" s="259" t="s">
        <v>71</v>
      </c>
      <c r="D64" s="259"/>
      <c r="E64" s="238"/>
      <c r="F64" s="238"/>
      <c r="G64" s="305">
        <f>NPV(G61,J45:N45)</f>
        <v>1844.3716136761091</v>
      </c>
      <c r="H64" s="225"/>
      <c r="I64" s="225"/>
      <c r="J64" s="272">
        <f>J65-$Q$63</f>
        <v>0.76800000000000002</v>
      </c>
      <c r="K64" s="331">
        <f t="dataTable" ref="K64:N72" dt2D="1" dtr="1" r1="J51" r2="J52" ca="1"/>
        <v>36.862751997804658</v>
      </c>
      <c r="L64" s="332">
        <v>37.736745332408042</v>
      </c>
      <c r="M64" s="332">
        <v>38.626999608761729</v>
      </c>
      <c r="N64" s="333">
        <v>39.53374604462735</v>
      </c>
      <c r="O64" s="225"/>
      <c r="P64" s="225"/>
      <c r="Q64" s="225"/>
      <c r="R64" s="225"/>
    </row>
    <row r="65" spans="1:18" ht="13.15" customHeight="1" x14ac:dyDescent="0.2">
      <c r="A65" s="237"/>
      <c r="B65" s="225"/>
      <c r="C65" s="334" t="s">
        <v>72</v>
      </c>
      <c r="D65" s="334"/>
      <c r="E65" s="242"/>
      <c r="F65" s="242"/>
      <c r="G65" s="335">
        <f>(N45*(1+G62)) / (G61-G62)</f>
        <v>10519.296306107382</v>
      </c>
      <c r="H65" s="225"/>
      <c r="I65" s="225"/>
      <c r="J65" s="329">
        <f>J66-$Q$63</f>
        <v>0.77100000000000002</v>
      </c>
      <c r="K65" s="336">
        <v>36.071285838562318</v>
      </c>
      <c r="L65" s="337">
        <v>36.927604366941985</v>
      </c>
      <c r="M65" s="337">
        <v>37.799855269982096</v>
      </c>
      <c r="N65" s="338">
        <v>38.688265094931339</v>
      </c>
      <c r="O65" s="225"/>
      <c r="P65" s="225"/>
      <c r="Q65" s="225"/>
      <c r="R65" s="225"/>
    </row>
    <row r="66" spans="1:18" ht="13.15" customHeight="1" x14ac:dyDescent="0.2">
      <c r="A66" s="237"/>
      <c r="B66" s="225"/>
      <c r="C66" s="259" t="s">
        <v>73</v>
      </c>
      <c r="D66" s="259"/>
      <c r="E66" s="238"/>
      <c r="F66" s="238"/>
      <c r="G66" s="270">
        <f>PV(G61,5,0,-G65)</f>
        <v>7159.2563105559111</v>
      </c>
      <c r="H66" s="225"/>
      <c r="I66" s="339"/>
      <c r="J66" s="329">
        <f>J67-$Q$63</f>
        <v>0.77400000000000002</v>
      </c>
      <c r="K66" s="336">
        <v>35.279819679319971</v>
      </c>
      <c r="L66" s="337">
        <v>36.118463401475893</v>
      </c>
      <c r="M66" s="337">
        <v>36.972710931202471</v>
      </c>
      <c r="N66" s="338">
        <v>37.842784145235349</v>
      </c>
      <c r="O66" s="225"/>
      <c r="P66" s="225"/>
      <c r="Q66" s="225"/>
      <c r="R66" s="225"/>
    </row>
    <row r="67" spans="1:18" ht="13.15" customHeight="1" x14ac:dyDescent="0.2">
      <c r="A67" s="237"/>
      <c r="B67" s="225"/>
      <c r="C67" s="340" t="s">
        <v>74</v>
      </c>
      <c r="D67" s="340"/>
      <c r="E67" s="341"/>
      <c r="F67" s="341"/>
      <c r="G67" s="342">
        <f>G64 + G66</f>
        <v>9003.6279242320197</v>
      </c>
      <c r="H67" s="225"/>
      <c r="I67" s="225"/>
      <c r="J67" s="329">
        <f>J68-$Q$63</f>
        <v>0.77700000000000002</v>
      </c>
      <c r="K67" s="336">
        <v>34.488353520077624</v>
      </c>
      <c r="L67" s="337">
        <v>35.309322436009843</v>
      </c>
      <c r="M67" s="337">
        <v>36.145566592422874</v>
      </c>
      <c r="N67" s="338">
        <v>36.997303195539359</v>
      </c>
      <c r="O67" s="225"/>
      <c r="P67" s="225"/>
      <c r="Q67" s="225"/>
      <c r="R67" s="225"/>
    </row>
    <row r="68" spans="1:18" ht="13.15" customHeight="1" x14ac:dyDescent="0.2">
      <c r="A68" s="237"/>
      <c r="B68" s="225"/>
      <c r="C68" s="238" t="s">
        <v>75</v>
      </c>
      <c r="D68" s="259"/>
      <c r="E68" s="238"/>
      <c r="F68" s="238"/>
      <c r="G68" s="343">
        <f>'DCF Solution'!G68</f>
        <v>-523</v>
      </c>
      <c r="H68" s="225"/>
      <c r="I68" s="344" t="s">
        <v>76</v>
      </c>
      <c r="J68" s="273">
        <f>'DCF Solution'!J68</f>
        <v>0.78</v>
      </c>
      <c r="K68" s="336">
        <v>33.696887360835284</v>
      </c>
      <c r="L68" s="337">
        <v>34.500181470543794</v>
      </c>
      <c r="M68" s="337">
        <v>35.318422253643227</v>
      </c>
      <c r="N68" s="338">
        <v>36.15182224584337</v>
      </c>
      <c r="O68" s="225"/>
      <c r="P68" s="225"/>
      <c r="Q68" s="225"/>
      <c r="R68" s="225"/>
    </row>
    <row r="69" spans="1:18" ht="13.15" customHeight="1" x14ac:dyDescent="0.2">
      <c r="A69" s="237"/>
      <c r="B69" s="225"/>
      <c r="C69" s="238" t="s">
        <v>78</v>
      </c>
      <c r="D69" s="259"/>
      <c r="E69" s="238"/>
      <c r="F69" s="238"/>
      <c r="G69" s="310">
        <f>'DCF Solution'!G69</f>
        <v>48.1</v>
      </c>
      <c r="H69" s="225"/>
      <c r="I69" s="225"/>
      <c r="J69" s="329">
        <f>J68+$Q$63</f>
        <v>0.78300000000000003</v>
      </c>
      <c r="K69" s="336">
        <v>32.905421201592937</v>
      </c>
      <c r="L69" s="337">
        <v>33.691040505077687</v>
      </c>
      <c r="M69" s="337">
        <v>34.49127791486363</v>
      </c>
      <c r="N69" s="338">
        <v>35.306341296147359</v>
      </c>
      <c r="O69" s="225"/>
      <c r="P69" s="225"/>
      <c r="Q69" s="225"/>
      <c r="R69" s="225"/>
    </row>
    <row r="70" spans="1:18" ht="13.15" customHeight="1" x14ac:dyDescent="0.2">
      <c r="A70" s="237"/>
      <c r="B70" s="225"/>
      <c r="C70" s="340" t="s">
        <v>79</v>
      </c>
      <c r="D70" s="340"/>
      <c r="E70" s="341"/>
      <c r="F70" s="341"/>
      <c r="G70" s="342">
        <f>SUM(G67:G69)</f>
        <v>8528.7279242320201</v>
      </c>
      <c r="H70" s="225"/>
      <c r="I70" s="225"/>
      <c r="J70" s="329">
        <f>J69+$Q$63</f>
        <v>0.78600000000000003</v>
      </c>
      <c r="K70" s="336">
        <v>32.113955042350597</v>
      </c>
      <c r="L70" s="337">
        <v>32.881899539611638</v>
      </c>
      <c r="M70" s="337">
        <v>33.664133576083991</v>
      </c>
      <c r="N70" s="338">
        <v>34.460860346451376</v>
      </c>
      <c r="O70" s="225"/>
      <c r="P70" s="225"/>
      <c r="Q70" s="225"/>
      <c r="R70" s="225"/>
    </row>
    <row r="71" spans="1:18" ht="13.15" customHeight="1" x14ac:dyDescent="0.2">
      <c r="A71" s="237"/>
      <c r="B71" s="225"/>
      <c r="C71" s="225"/>
      <c r="D71" s="225"/>
      <c r="E71" s="225"/>
      <c r="F71" s="225"/>
      <c r="G71" s="225"/>
      <c r="H71" s="225"/>
      <c r="I71" s="225"/>
      <c r="J71" s="329">
        <f>J70+$Q$63</f>
        <v>0.78900000000000003</v>
      </c>
      <c r="K71" s="336">
        <v>31.322488883108257</v>
      </c>
      <c r="L71" s="337">
        <v>32.072758574145581</v>
      </c>
      <c r="M71" s="337">
        <v>32.836989237304358</v>
      </c>
      <c r="N71" s="338">
        <v>33.615379396755387</v>
      </c>
      <c r="O71" s="225"/>
      <c r="P71" s="225"/>
      <c r="Q71" s="225"/>
      <c r="R71" s="225"/>
    </row>
    <row r="72" spans="1:18" ht="13.15" customHeight="1" thickBot="1" x14ac:dyDescent="0.25">
      <c r="A72" s="237"/>
      <c r="B72" s="225"/>
      <c r="C72" s="225"/>
      <c r="D72" s="238"/>
      <c r="E72" s="238"/>
      <c r="F72" s="345" t="s">
        <v>82</v>
      </c>
      <c r="G72" s="346">
        <f>'DCF Solution'!G72</f>
        <v>241.48099999999999</v>
      </c>
      <c r="H72" s="225"/>
      <c r="I72" s="225"/>
      <c r="J72" s="329">
        <f>J71+$Q$63</f>
        <v>0.79200000000000004</v>
      </c>
      <c r="K72" s="347">
        <v>30.531022723865917</v>
      </c>
      <c r="L72" s="348">
        <v>31.263617608679493</v>
      </c>
      <c r="M72" s="348">
        <v>32.009844898524769</v>
      </c>
      <c r="N72" s="349">
        <v>32.769898447059383</v>
      </c>
      <c r="O72" s="225"/>
      <c r="P72" s="225"/>
      <c r="Q72" s="225"/>
      <c r="R72" s="225"/>
    </row>
    <row r="73" spans="1:18" ht="13.15" customHeight="1" thickTop="1" x14ac:dyDescent="0.2">
      <c r="A73" s="237"/>
      <c r="B73" s="225"/>
      <c r="C73" s="225"/>
      <c r="D73" s="334"/>
      <c r="E73" s="242"/>
      <c r="F73" s="242"/>
      <c r="G73" s="242"/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225"/>
    </row>
    <row r="74" spans="1:18" ht="13.15" customHeight="1" thickBot="1" x14ac:dyDescent="0.25">
      <c r="A74" s="354" t="s">
        <v>23</v>
      </c>
      <c r="B74" s="354"/>
      <c r="C74" s="225"/>
      <c r="D74" s="350"/>
      <c r="E74" s="351"/>
      <c r="F74" s="352" t="s">
        <v>84</v>
      </c>
      <c r="G74" s="353">
        <f>G70 / G72</f>
        <v>35.318422253643227</v>
      </c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</row>
    <row r="75" spans="1:18" ht="13.15" customHeight="1" thickTop="1" x14ac:dyDescent="0.2">
      <c r="A75" s="354"/>
      <c r="B75" s="354"/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225"/>
      <c r="R75" s="225"/>
    </row>
    <row r="76" spans="1:18" ht="13.15" customHeight="1" x14ac:dyDescent="0.2">
      <c r="A76" s="354"/>
      <c r="B76" s="354"/>
      <c r="C76" s="225"/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</row>
    <row r="77" spans="1:18" ht="13.15" customHeight="1" x14ac:dyDescent="0.2">
      <c r="A77" s="354" t="s">
        <v>23</v>
      </c>
      <c r="B77" s="354" t="s">
        <v>86</v>
      </c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</row>
    <row r="78" spans="1:18" ht="13.15" customHeight="1" x14ac:dyDescent="0.2">
      <c r="L78"/>
      <c r="M78"/>
      <c r="N78"/>
    </row>
  </sheetData>
  <sheetProtection selectLockedCells="1" selectUnlockedCells="1"/>
  <protectedRanges>
    <protectedRange sqref="G61:G62" name="Range1"/>
    <protectedRange sqref="G65" name="Range1_1"/>
  </protectedRanges>
  <conditionalFormatting sqref="J63">
    <cfRule type="cellIs" dxfId="140" priority="18" stopIfTrue="1" operator="equal">
      <formula>0</formula>
    </cfRule>
  </conditionalFormatting>
  <conditionalFormatting sqref="G52:I52 H51:I51 G54:N54">
    <cfRule type="cellIs" dxfId="139" priority="19" stopIfTrue="1" operator="equal">
      <formula>0.000001</formula>
    </cfRule>
  </conditionalFormatting>
  <conditionalFormatting sqref="G31:N31">
    <cfRule type="cellIs" dxfId="138" priority="17" stopIfTrue="1" operator="equal">
      <formula>0.000001</formula>
    </cfRule>
  </conditionalFormatting>
  <conditionalFormatting sqref="G34:N34">
    <cfRule type="cellIs" dxfId="137" priority="16" stopIfTrue="1" operator="equal">
      <formula>0.000001</formula>
    </cfRule>
  </conditionalFormatting>
  <conditionalFormatting sqref="G37:N37">
    <cfRule type="cellIs" dxfId="136" priority="15" stopIfTrue="1" operator="equal">
      <formula>0.000001</formula>
    </cfRule>
  </conditionalFormatting>
  <conditionalFormatting sqref="G39:N39">
    <cfRule type="cellIs" dxfId="135" priority="14" stopIfTrue="1" operator="equal">
      <formula>0.000001</formula>
    </cfRule>
  </conditionalFormatting>
  <conditionalFormatting sqref="H45:N45">
    <cfRule type="cellIs" dxfId="134" priority="13" stopIfTrue="1" operator="equal">
      <formula>0.000001</formula>
    </cfRule>
  </conditionalFormatting>
  <conditionalFormatting sqref="J29:N29">
    <cfRule type="cellIs" dxfId="133" priority="12" stopIfTrue="1" operator="equal">
      <formula>0.000001</formula>
    </cfRule>
  </conditionalFormatting>
  <conditionalFormatting sqref="J30:N30">
    <cfRule type="cellIs" dxfId="132" priority="11" stopIfTrue="1" operator="equal">
      <formula>0.000001</formula>
    </cfRule>
  </conditionalFormatting>
  <conditionalFormatting sqref="J33:N33">
    <cfRule type="cellIs" dxfId="131" priority="10" stopIfTrue="1" operator="equal">
      <formula>0.000001</formula>
    </cfRule>
  </conditionalFormatting>
  <conditionalFormatting sqref="J35:N35">
    <cfRule type="cellIs" dxfId="130" priority="9" stopIfTrue="1" operator="equal">
      <formula>0.000001</formula>
    </cfRule>
  </conditionalFormatting>
  <conditionalFormatting sqref="J36:N36">
    <cfRule type="cellIs" dxfId="129" priority="8" stopIfTrue="1" operator="equal">
      <formula>0.000001</formula>
    </cfRule>
  </conditionalFormatting>
  <conditionalFormatting sqref="P29 P31 P34 P37 P39 P45">
    <cfRule type="cellIs" dxfId="128" priority="7" stopIfTrue="1" operator="equal">
      <formula>0.000001</formula>
    </cfRule>
  </conditionalFormatting>
  <conditionalFormatting sqref="K52:N52">
    <cfRule type="cellIs" dxfId="127" priority="6" stopIfTrue="1" operator="equal">
      <formula>+$J$52</formula>
    </cfRule>
  </conditionalFormatting>
  <conditionalFormatting sqref="K58:N58">
    <cfRule type="cellIs" dxfId="126" priority="5" stopIfTrue="1" operator="equal">
      <formula>$J$58</formula>
    </cfRule>
  </conditionalFormatting>
  <conditionalFormatting sqref="K56:N56">
    <cfRule type="cellIs" dxfId="125" priority="4" stopIfTrue="1" operator="equal">
      <formula>+$J$52</formula>
    </cfRule>
  </conditionalFormatting>
  <conditionalFormatting sqref="G64:G67">
    <cfRule type="cellIs" dxfId="124" priority="3" stopIfTrue="1" operator="equal">
      <formula>0.000001</formula>
    </cfRule>
  </conditionalFormatting>
  <conditionalFormatting sqref="G70">
    <cfRule type="cellIs" dxfId="123" priority="2" stopIfTrue="1" operator="equal">
      <formula>0.000001</formula>
    </cfRule>
  </conditionalFormatting>
  <conditionalFormatting sqref="G74">
    <cfRule type="cellIs" dxfId="122" priority="1" stopIfTrue="1" operator="equal">
      <formula>0.000001</formula>
    </cfRule>
  </conditionalFormatting>
  <pageMargins left="0.75" right="0.75" top="0.65" bottom="0.65" header="0.5" footer="0.25"/>
  <pageSetup scale="60" orientation="landscape" r:id="rId1"/>
  <headerFooter alignWithMargins="0">
    <oddFooter>&amp;C&amp;8&amp;G&amp;R&amp;8For training purposes only!&amp;L&amp;8COPYRIGHT 2016 © by Training The Street, Inc</oddFooter>
  </headerFooter>
  <drawing r:id="rId2"/>
  <legacy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83"/>
  <sheetViews>
    <sheetView zoomScaleNormal="100" workbookViewId="0">
      <pane ySplit="21" topLeftCell="A58" activePane="bottomLeft" state="frozen"/>
      <selection activeCell="A76" sqref="A76"/>
      <selection pane="bottomLeft" activeCell="A22" sqref="A22"/>
    </sheetView>
  </sheetViews>
  <sheetFormatPr defaultColWidth="10" defaultRowHeight="13.15" customHeight="1" outlineLevelRow="1" x14ac:dyDescent="0.2"/>
  <cols>
    <col min="1" max="1" width="3" style="214" customWidth="1"/>
    <col min="2" max="3" width="1.7109375" style="105" customWidth="1"/>
    <col min="4" max="14" width="10" style="105" customWidth="1"/>
    <col min="15" max="15" width="1.7109375" style="105" customWidth="1"/>
    <col min="16" max="16" width="10" style="105"/>
    <col min="17" max="17" width="10.85546875" style="105" bestFit="1" customWidth="1"/>
    <col min="18" max="16384" width="10" style="105"/>
  </cols>
  <sheetData>
    <row r="1" spans="1:23" ht="12.75" customHeight="1" outlineLevel="1" x14ac:dyDescent="0.2">
      <c r="A1" s="387"/>
      <c r="B1" s="404" t="str">
        <f ca="1">MID(CELL("filename",B1),FIND("]",CELL("filename",B1))+1,31)&amp;": Input and Analyze Historical Fee Cash Flows"</f>
        <v>Steps 1-2: Input and Analyze Historical Fee Cash Flows</v>
      </c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6"/>
      <c r="Q1" s="395"/>
      <c r="R1" s="404" t="s">
        <v>150</v>
      </c>
      <c r="S1" s="405"/>
      <c r="T1" s="405"/>
      <c r="U1" s="405"/>
      <c r="V1" s="405"/>
      <c r="W1" s="406"/>
    </row>
    <row r="2" spans="1:23" ht="12.75" customHeight="1" outlineLevel="1" x14ac:dyDescent="0.25">
      <c r="A2" s="387"/>
      <c r="B2" s="407"/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8"/>
      <c r="Q2" s="395"/>
      <c r="R2" s="565" t="s">
        <v>151</v>
      </c>
      <c r="S2" s="477" t="str">
        <f>ADDRESS(ROW(G31),COLUMN(G31),4)&amp; " = "</f>
        <v xml:space="preserve">G31 = </v>
      </c>
      <c r="T2" s="478" t="str">
        <f>ADDRESS(ROW(G29),COLUMN(G29),4)&amp;" - "&amp;ADDRESS(ROW(G30),COLUMN(G30),4)</f>
        <v>G29 - G30</v>
      </c>
      <c r="U2" s="107"/>
      <c r="V2" s="479" t="s">
        <v>152</v>
      </c>
      <c r="W2" s="476"/>
    </row>
    <row r="3" spans="1:23" ht="12.75" customHeight="1" outlineLevel="1" x14ac:dyDescent="0.2">
      <c r="A3" s="387"/>
      <c r="B3" s="409"/>
      <c r="C3" s="402" t="str">
        <f>"Step "&amp;A31&amp;": Input the Unlevered Free Cash Flow line items"</f>
        <v>Step 1: Input the Unlevered Free Cash Flow line items</v>
      </c>
      <c r="D3" s="403"/>
      <c r="E3" s="403"/>
      <c r="F3" s="403"/>
      <c r="G3" s="401"/>
      <c r="H3" s="401"/>
      <c r="I3" s="401"/>
      <c r="J3" s="415" t="s">
        <v>41</v>
      </c>
      <c r="K3" s="416"/>
      <c r="L3" s="417"/>
      <c r="M3" s="403"/>
      <c r="N3" s="403"/>
      <c r="O3" s="403"/>
      <c r="P3" s="430"/>
      <c r="Q3" s="395"/>
      <c r="R3" s="563"/>
      <c r="S3" s="477" t="str">
        <f>ADDRESS(ROW(G34),COLUMN(G34),4)&amp; " = "</f>
        <v xml:space="preserve">G34 = </v>
      </c>
      <c r="T3" s="478" t="str">
        <f>ADDRESS(ROW(G31),COLUMN(G31),4)&amp;" - "&amp;ADDRESS(ROW(G33),COLUMN(G33),4)</f>
        <v>G31 - G33</v>
      </c>
      <c r="U3" s="107"/>
      <c r="V3" s="479" t="s">
        <v>35</v>
      </c>
      <c r="W3" s="476"/>
    </row>
    <row r="4" spans="1:23" ht="12.75" customHeight="1" outlineLevel="1" x14ac:dyDescent="0.2">
      <c r="A4" s="387"/>
      <c r="B4" s="410"/>
      <c r="C4" s="401"/>
      <c r="D4" s="401" t="str">
        <f>"    - Normalize Unlevered Free Cash Flow for any non-recurring items;"</f>
        <v xml:space="preserve">    - Normalize Unlevered Free Cash Flow for any non-recurring items;</v>
      </c>
      <c r="E4" s="401"/>
      <c r="F4" s="401"/>
      <c r="G4" s="401"/>
      <c r="H4" s="401"/>
      <c r="I4" s="401"/>
      <c r="J4" s="418"/>
      <c r="K4" s="419" t="s">
        <v>43</v>
      </c>
      <c r="L4" s="420" t="s">
        <v>44</v>
      </c>
      <c r="M4" s="401"/>
      <c r="N4" s="401"/>
      <c r="O4" s="401"/>
      <c r="P4" s="408"/>
      <c r="Q4" s="395"/>
      <c r="R4" s="563"/>
      <c r="S4" s="477" t="str">
        <f>ADDRESS(ROW(G37),COLUMN(G37),4)&amp; " = "</f>
        <v xml:space="preserve">G37 = </v>
      </c>
      <c r="T4" s="107" t="str">
        <f>"SUM("&amp;ADDRESS(ROW(G34),COLUMN(G34),4)&amp;":"&amp;ADDRESS(ROW(G36),COLUMN(G36),4)&amp;")"</f>
        <v>SUM(G34:G36)</v>
      </c>
      <c r="U4" s="107"/>
      <c r="V4" s="479" t="s">
        <v>153</v>
      </c>
      <c r="W4" s="476"/>
    </row>
    <row r="5" spans="1:23" ht="12.75" customHeight="1" outlineLevel="1" x14ac:dyDescent="0.25">
      <c r="A5" s="387"/>
      <c r="B5" s="407"/>
      <c r="C5" s="401"/>
      <c r="D5" s="399" t="s">
        <v>89</v>
      </c>
      <c r="E5" s="401"/>
      <c r="F5" s="401"/>
      <c r="G5" s="401"/>
      <c r="H5" s="401"/>
      <c r="I5" s="401"/>
      <c r="J5" s="421" t="s">
        <v>46</v>
      </c>
      <c r="K5" s="422" t="s">
        <v>47</v>
      </c>
      <c r="L5" s="423" t="s">
        <v>48</v>
      </c>
      <c r="M5" s="401"/>
      <c r="N5" s="401"/>
      <c r="O5" s="401"/>
      <c r="P5" s="408"/>
      <c r="Q5" s="395"/>
      <c r="R5" s="563"/>
      <c r="S5" s="477" t="str">
        <f>ADDRESS(ROW(G39),COLUMN(G39),4)&amp; " = "</f>
        <v xml:space="preserve">G39 = </v>
      </c>
      <c r="T5" s="107" t="str">
        <f>"SUM("&amp;ADDRESS(ROW(G37),COLUMN(G37),4)&amp;":"&amp;ADDRESS(ROW(G38),COLUMN(G38),4)&amp;")"</f>
        <v>SUM(G37:G38)</v>
      </c>
      <c r="U5" s="107"/>
      <c r="V5" s="479" t="s">
        <v>40</v>
      </c>
      <c r="W5" s="476"/>
    </row>
    <row r="6" spans="1:23" ht="12.75" customHeight="1" outlineLevel="1" x14ac:dyDescent="0.25">
      <c r="A6" s="387"/>
      <c r="B6" s="407"/>
      <c r="C6" s="401"/>
      <c r="D6" s="401" t="str">
        <f>"    - Remember to anchor the column for the tax rate ($"&amp;ADDRESS(ROW(E38),COLUMN(E38),4)&amp;")"</f>
        <v xml:space="preserve">    - Remember to anchor the column for the tax rate ($E38)</v>
      </c>
      <c r="E6" s="401"/>
      <c r="F6" s="401"/>
      <c r="G6" s="401"/>
      <c r="H6" s="401"/>
      <c r="I6" s="401"/>
      <c r="J6" s="424" t="s">
        <v>50</v>
      </c>
      <c r="K6" s="425" t="s">
        <v>51</v>
      </c>
      <c r="L6" s="426" t="s">
        <v>52</v>
      </c>
      <c r="M6" s="401"/>
      <c r="N6" s="401"/>
      <c r="O6" s="401"/>
      <c r="P6" s="408"/>
      <c r="Q6" s="395"/>
      <c r="R6" s="563"/>
      <c r="S6" s="477" t="str">
        <f>ADDRESS(ROW(H45),COLUMN(H45),4)&amp; " = "</f>
        <v xml:space="preserve">H45 = </v>
      </c>
      <c r="T6" s="107" t="str">
        <f>"SUM("&amp;ADDRESS(ROW(H39),COLUMN(H39),4)&amp;":"&amp;ADDRESS(ROW(H44),COLUMN(H44),4)&amp;")"</f>
        <v>SUM(H39:H44)</v>
      </c>
      <c r="U6" s="107"/>
      <c r="V6" s="479" t="s">
        <v>155</v>
      </c>
      <c r="W6" s="476"/>
    </row>
    <row r="7" spans="1:23" ht="12.75" customHeight="1" outlineLevel="1" x14ac:dyDescent="0.25">
      <c r="A7" s="387"/>
      <c r="B7" s="407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8"/>
      <c r="Q7" s="395"/>
      <c r="R7" s="562" t="s">
        <v>158</v>
      </c>
      <c r="S7" s="484" t="str">
        <f>ADDRESS(ROW(H51),COLUMN(H51),4)&amp; " = "</f>
        <v xml:space="preserve">H51 = </v>
      </c>
      <c r="T7" s="486" t="str">
        <f>ADDRESS(ROW(H29),COLUMN(H29),4)&amp;" / "&amp;ADDRESS(ROW(G29),COLUMN(G29),4)&amp;" - 1"</f>
        <v>H29 / G29 - 1</v>
      </c>
      <c r="U7" s="486"/>
      <c r="V7" s="487" t="s">
        <v>156</v>
      </c>
      <c r="W7" s="483"/>
    </row>
    <row r="8" spans="1:23" ht="12.75" customHeight="1" outlineLevel="1" x14ac:dyDescent="0.25">
      <c r="A8" s="387"/>
      <c r="B8" s="407"/>
      <c r="C8" s="414" t="str">
        <f>"Step "&amp;A51&amp;": Calculate the historical ratios and growth rates"</f>
        <v>Step 2: Calculate the historical ratios and growth rates</v>
      </c>
      <c r="D8" s="401"/>
      <c r="E8" s="401"/>
      <c r="F8" s="401"/>
      <c r="G8" s="401"/>
      <c r="H8" s="401"/>
      <c r="I8" s="401"/>
      <c r="J8" s="414" t="s">
        <v>103</v>
      </c>
      <c r="K8" s="401"/>
      <c r="L8" s="433"/>
      <c r="M8" s="401"/>
      <c r="N8" s="401"/>
      <c r="O8" s="401"/>
      <c r="P8" s="408"/>
      <c r="Q8" s="395"/>
      <c r="R8" s="563"/>
      <c r="S8" s="484" t="str">
        <f>ADDRESS(ROW(H52),COLUMN(H52),4)&amp; " = "</f>
        <v xml:space="preserve">H52 = </v>
      </c>
      <c r="T8" s="486" t="str">
        <f>ADDRESS(ROW(H30),COLUMN(H30),4)&amp;" / "&amp;ADDRESS(ROW($H$29),COLUMN($H$29),4)</f>
        <v>H30 / H29</v>
      </c>
      <c r="U8" s="486"/>
      <c r="V8" s="487" t="s">
        <v>159</v>
      </c>
      <c r="W8" s="483"/>
    </row>
    <row r="9" spans="1:23" ht="12.75" customHeight="1" outlineLevel="1" x14ac:dyDescent="0.25">
      <c r="A9" s="387"/>
      <c r="B9" s="407"/>
      <c r="C9" s="401"/>
      <c r="D9" s="401" t="s">
        <v>93</v>
      </c>
      <c r="E9" s="401"/>
      <c r="F9" s="401"/>
      <c r="G9" s="401"/>
      <c r="H9" s="401"/>
      <c r="I9" s="401"/>
      <c r="J9" s="356" t="s">
        <v>99</v>
      </c>
      <c r="K9" s="431"/>
      <c r="L9" s="433"/>
      <c r="M9" s="401"/>
      <c r="N9" s="401"/>
      <c r="O9" s="401"/>
      <c r="P9" s="408"/>
      <c r="Q9" s="395"/>
      <c r="R9" s="564"/>
      <c r="S9" s="489" t="str">
        <f>ADDRESS(ROW(H54),COLUMN(H54),4)&amp; " = "</f>
        <v xml:space="preserve">H54 = </v>
      </c>
      <c r="T9" s="490" t="str">
        <f>ADDRESS(ROW(H34),COLUMN(H34),4)&amp;" / "&amp;ADDRESS(ROW($H$29),COLUMN($H$29),4)</f>
        <v>H34 / H29</v>
      </c>
      <c r="U9" s="490"/>
      <c r="V9" s="491" t="s">
        <v>157</v>
      </c>
      <c r="W9" s="488"/>
    </row>
    <row r="10" spans="1:23" ht="12.75" customHeight="1" outlineLevel="1" x14ac:dyDescent="0.25">
      <c r="A10" s="387"/>
      <c r="B10" s="407"/>
      <c r="C10" s="401"/>
      <c r="D10" s="401" t="s">
        <v>90</v>
      </c>
      <c r="E10" s="401"/>
      <c r="F10" s="401"/>
      <c r="G10" s="401"/>
      <c r="H10" s="401"/>
      <c r="I10" s="401"/>
      <c r="J10" s="356" t="s">
        <v>100</v>
      </c>
      <c r="K10" s="432"/>
      <c r="L10" s="433"/>
      <c r="M10" s="401"/>
      <c r="N10" s="401"/>
      <c r="O10" s="401"/>
      <c r="P10" s="408"/>
      <c r="Q10" s="395"/>
    </row>
    <row r="11" spans="1:23" ht="12.75" customHeight="1" outlineLevel="1" x14ac:dyDescent="0.25">
      <c r="A11" s="387"/>
      <c r="B11" s="407"/>
      <c r="C11" s="401"/>
      <c r="D11" s="401"/>
      <c r="E11" s="401"/>
      <c r="F11" s="401"/>
      <c r="G11" s="401"/>
      <c r="H11" s="401"/>
      <c r="I11" s="401"/>
      <c r="J11" s="361" t="s">
        <v>101</v>
      </c>
      <c r="K11" s="432"/>
      <c r="L11" s="433"/>
      <c r="M11" s="401"/>
      <c r="N11" s="401"/>
      <c r="O11" s="401"/>
      <c r="P11" s="408"/>
      <c r="Q11" s="395"/>
    </row>
    <row r="12" spans="1:23" ht="12.75" customHeight="1" outlineLevel="1" x14ac:dyDescent="0.25">
      <c r="A12" s="387"/>
      <c r="B12" s="407"/>
      <c r="C12" s="401"/>
      <c r="D12" s="401"/>
      <c r="E12" s="401"/>
      <c r="F12" s="401"/>
      <c r="G12" s="401"/>
      <c r="H12" s="401"/>
      <c r="I12" s="401"/>
      <c r="J12" s="361" t="s">
        <v>102</v>
      </c>
      <c r="K12" s="432"/>
      <c r="L12" s="433"/>
      <c r="M12" s="401"/>
      <c r="N12" s="401"/>
      <c r="O12" s="401"/>
      <c r="P12" s="408"/>
      <c r="Q12" s="395"/>
    </row>
    <row r="13" spans="1:23" ht="12.75" customHeight="1" outlineLevel="1" x14ac:dyDescent="0.25">
      <c r="A13" s="387"/>
      <c r="B13" s="411"/>
      <c r="C13" s="412"/>
      <c r="D13" s="412"/>
      <c r="E13" s="412"/>
      <c r="F13" s="412"/>
      <c r="G13" s="412"/>
      <c r="H13" s="412"/>
      <c r="I13" s="412"/>
      <c r="J13" s="412"/>
      <c r="K13" s="412"/>
      <c r="L13" s="412"/>
      <c r="M13" s="412"/>
      <c r="N13" s="412"/>
      <c r="O13" s="412"/>
      <c r="P13" s="413"/>
      <c r="Q13" s="395"/>
    </row>
    <row r="14" spans="1:23" ht="12.75" customHeight="1" x14ac:dyDescent="0.25">
      <c r="A14" s="387"/>
      <c r="B14" s="396"/>
      <c r="C14" s="387"/>
      <c r="D14" s="387"/>
      <c r="E14" s="387"/>
      <c r="F14" s="387"/>
      <c r="G14" s="387"/>
      <c r="H14" s="387"/>
      <c r="I14" s="387"/>
      <c r="J14" s="387"/>
      <c r="K14" s="387"/>
      <c r="L14" s="387"/>
      <c r="M14" s="387"/>
      <c r="Q14" s="395"/>
    </row>
    <row r="15" spans="1:23" ht="12.75" hidden="1" customHeight="1" x14ac:dyDescent="0.25">
      <c r="A15" s="387"/>
      <c r="B15" s="396"/>
      <c r="C15" s="387"/>
      <c r="D15" s="387"/>
      <c r="E15" s="387"/>
      <c r="F15" s="387"/>
      <c r="G15" s="387"/>
      <c r="H15" s="387"/>
      <c r="I15" s="387"/>
      <c r="J15" s="387"/>
      <c r="K15" s="387"/>
      <c r="L15" s="387"/>
      <c r="M15" s="387"/>
      <c r="N15" s="387"/>
      <c r="O15" s="387"/>
      <c r="P15" s="387"/>
      <c r="Q15" s="395"/>
    </row>
    <row r="16" spans="1:23" ht="12.75" hidden="1" customHeight="1" x14ac:dyDescent="0.25">
      <c r="A16" s="387"/>
      <c r="B16" s="396"/>
      <c r="C16" s="387"/>
      <c r="D16" s="387"/>
      <c r="E16" s="387"/>
      <c r="F16" s="387"/>
      <c r="G16" s="387"/>
      <c r="H16" s="387"/>
      <c r="I16" s="387"/>
      <c r="J16" s="387"/>
      <c r="K16" s="387"/>
      <c r="L16" s="387"/>
      <c r="M16" s="387"/>
      <c r="N16" s="387"/>
      <c r="O16" s="387"/>
      <c r="P16" s="387"/>
      <c r="Q16" s="395"/>
    </row>
    <row r="17" spans="1:17" ht="12.75" hidden="1" customHeight="1" x14ac:dyDescent="0.25">
      <c r="A17" s="387"/>
      <c r="B17" s="396"/>
      <c r="C17" s="387"/>
      <c r="D17" s="387"/>
      <c r="E17" s="387"/>
      <c r="F17" s="387"/>
      <c r="G17" s="387"/>
      <c r="H17" s="387"/>
      <c r="I17" s="387"/>
      <c r="J17" s="387"/>
      <c r="K17" s="387"/>
      <c r="L17" s="387"/>
      <c r="M17" s="387"/>
      <c r="N17" s="387"/>
      <c r="O17" s="387"/>
      <c r="P17" s="387"/>
      <c r="Q17" s="395"/>
    </row>
    <row r="18" spans="1:17" ht="12.75" hidden="1" customHeight="1" x14ac:dyDescent="0.25">
      <c r="A18" s="387"/>
      <c r="B18" s="396"/>
      <c r="C18" s="387"/>
      <c r="D18" s="387"/>
      <c r="E18" s="387"/>
      <c r="F18" s="387"/>
      <c r="G18" s="387"/>
      <c r="H18" s="387"/>
      <c r="I18" s="434"/>
      <c r="J18" s="387"/>
      <c r="K18" s="387"/>
      <c r="L18" s="387"/>
      <c r="M18" s="387"/>
      <c r="N18" s="387"/>
      <c r="O18" s="387"/>
      <c r="P18" s="387"/>
      <c r="Q18" s="395"/>
    </row>
    <row r="19" spans="1:17" ht="12.75" hidden="1" customHeight="1" x14ac:dyDescent="0.25">
      <c r="A19" s="387"/>
      <c r="B19" s="396"/>
      <c r="C19" s="387"/>
      <c r="D19" s="387"/>
      <c r="E19" s="387"/>
      <c r="F19" s="387"/>
      <c r="G19" s="387"/>
      <c r="H19" s="387"/>
      <c r="I19" s="387"/>
      <c r="J19" s="387"/>
      <c r="K19" s="387"/>
      <c r="L19" s="387"/>
      <c r="M19" s="387"/>
      <c r="N19" s="387"/>
      <c r="O19" s="387"/>
      <c r="P19" s="387"/>
      <c r="Q19" s="395"/>
    </row>
    <row r="20" spans="1:17" ht="12.75" hidden="1" customHeight="1" x14ac:dyDescent="0.25">
      <c r="A20" s="387"/>
      <c r="B20" s="396"/>
      <c r="C20" s="387"/>
      <c r="D20" s="387"/>
      <c r="E20" s="387"/>
      <c r="F20" s="387"/>
      <c r="G20" s="387"/>
      <c r="H20" s="387"/>
      <c r="I20" s="387"/>
      <c r="J20" s="387"/>
      <c r="K20" s="387"/>
      <c r="L20" s="387"/>
      <c r="M20" s="387"/>
      <c r="N20" s="387"/>
      <c r="O20" s="387"/>
      <c r="P20" s="387"/>
      <c r="Q20" s="395"/>
    </row>
    <row r="21" spans="1:17" s="113" customFormat="1" ht="12.75" hidden="1" customHeight="1" x14ac:dyDescent="0.2">
      <c r="A21" s="112"/>
    </row>
    <row r="22" spans="1:17" s="116" customFormat="1" ht="18.75" thickBot="1" x14ac:dyDescent="0.3">
      <c r="A22" s="112"/>
      <c r="B22" s="239" t="str">
        <f>"Discounted Cash Flow Analysis for "&amp;Company</f>
        <v>Discounted Cash Flow Analysis for Sample Company</v>
      </c>
      <c r="C22" s="114"/>
      <c r="D22" s="115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</row>
    <row r="23" spans="1:17" s="116" customFormat="1" ht="13.15" customHeight="1" x14ac:dyDescent="0.2">
      <c r="A23" s="112"/>
      <c r="B23" s="243" t="str">
        <f>Subheader</f>
        <v>Dollars in millions, except per share</v>
      </c>
      <c r="C23" s="117"/>
      <c r="D23" s="118"/>
      <c r="E23" s="119"/>
      <c r="F23" s="119"/>
      <c r="G23" s="119"/>
      <c r="H23" s="119"/>
      <c r="I23" s="119"/>
      <c r="J23" s="119"/>
      <c r="K23" s="119"/>
      <c r="L23" s="119"/>
      <c r="M23" s="120"/>
      <c r="N23" s="119"/>
      <c r="O23" s="119"/>
      <c r="P23" s="119"/>
    </row>
    <row r="24" spans="1:17" s="116" customFormat="1" ht="12.75" customHeight="1" x14ac:dyDescent="0.2">
      <c r="A24" s="112"/>
      <c r="B24" s="121"/>
      <c r="C24" s="122"/>
      <c r="D24" s="123"/>
      <c r="E24" s="114"/>
      <c r="F24" s="114"/>
      <c r="G24" s="114"/>
      <c r="H24" s="114"/>
      <c r="I24" s="114"/>
      <c r="J24" s="114"/>
      <c r="K24" s="114"/>
      <c r="L24" s="114"/>
      <c r="N24" s="114"/>
    </row>
    <row r="25" spans="1:17" s="116" customFormat="1" ht="12.75" customHeight="1" x14ac:dyDescent="0.2">
      <c r="A25" s="112"/>
      <c r="B25" s="121"/>
      <c r="C25" s="122"/>
      <c r="D25" s="123"/>
      <c r="E25" s="114"/>
      <c r="F25" s="114"/>
      <c r="G25" s="242"/>
      <c r="H25" s="242"/>
      <c r="I25" s="242"/>
      <c r="J25" s="242"/>
      <c r="K25" s="242"/>
      <c r="L25" s="242"/>
      <c r="M25" s="242"/>
      <c r="N25" s="242"/>
      <c r="O25" s="242"/>
      <c r="P25" s="251" t="str">
        <f>I27&amp;" - "&amp;N27</f>
        <v>2015 - 2020</v>
      </c>
    </row>
    <row r="26" spans="1:17" s="113" customFormat="1" ht="12.75" customHeight="1" x14ac:dyDescent="0.2">
      <c r="A26" s="112"/>
      <c r="G26" s="252" t="s">
        <v>28</v>
      </c>
      <c r="H26" s="253"/>
      <c r="I26" s="254"/>
      <c r="J26" s="252" t="s">
        <v>29</v>
      </c>
      <c r="K26" s="255"/>
      <c r="L26" s="255"/>
      <c r="M26" s="255"/>
      <c r="N26" s="256"/>
      <c r="O26" s="238"/>
      <c r="P26" s="257" t="s">
        <v>30</v>
      </c>
    </row>
    <row r="27" spans="1:17" s="113" customFormat="1" ht="12.75" customHeight="1" x14ac:dyDescent="0.2">
      <c r="A27" s="112"/>
      <c r="G27" s="379">
        <f>H27-1</f>
        <v>2013</v>
      </c>
      <c r="H27" s="379">
        <f>I27-1</f>
        <v>2014</v>
      </c>
      <c r="I27" s="380">
        <f>YEAR(FYE)</f>
        <v>2015</v>
      </c>
      <c r="J27" s="379">
        <f t="shared" ref="J27:N27" si="0">I27+1</f>
        <v>2016</v>
      </c>
      <c r="K27" s="379">
        <f t="shared" si="0"/>
        <v>2017</v>
      </c>
      <c r="L27" s="379">
        <f t="shared" si="0"/>
        <v>2018</v>
      </c>
      <c r="M27" s="379">
        <f t="shared" si="0"/>
        <v>2019</v>
      </c>
      <c r="N27" s="379">
        <f t="shared" si="0"/>
        <v>2020</v>
      </c>
      <c r="O27" s="238"/>
      <c r="P27" s="238"/>
    </row>
    <row r="28" spans="1:17" s="113" customFormat="1" ht="12.75" customHeight="1" x14ac:dyDescent="0.2">
      <c r="A28" s="112"/>
      <c r="I28" s="116"/>
      <c r="P28" s="116"/>
    </row>
    <row r="29" spans="1:17" s="113" customFormat="1" ht="13.15" customHeight="1" x14ac:dyDescent="0.2">
      <c r="A29" s="397"/>
      <c r="B29" s="131" t="s">
        <v>31</v>
      </c>
      <c r="C29" s="131"/>
      <c r="D29" s="131"/>
      <c r="G29" s="132">
        <v>4666</v>
      </c>
      <c r="H29" s="132">
        <v>4791.8999999999996</v>
      </c>
      <c r="I29" s="132">
        <v>4988.1000000000004</v>
      </c>
      <c r="J29" s="133"/>
      <c r="K29" s="133"/>
      <c r="L29" s="133"/>
      <c r="M29" s="133"/>
      <c r="N29" s="133"/>
      <c r="O29" s="116"/>
      <c r="P29" s="134">
        <v>9.9999999999999995E-7</v>
      </c>
      <c r="Q29" s="116"/>
    </row>
    <row r="30" spans="1:17" s="113" customFormat="1" ht="13.15" customHeight="1" x14ac:dyDescent="0.2">
      <c r="A30" s="112"/>
      <c r="B30" s="131" t="s">
        <v>32</v>
      </c>
      <c r="C30" s="131"/>
      <c r="D30" s="131"/>
      <c r="G30" s="135">
        <v>3498.8</v>
      </c>
      <c r="H30" s="135">
        <v>3767.7</v>
      </c>
      <c r="I30" s="135">
        <v>3893.1</v>
      </c>
      <c r="J30" s="136"/>
      <c r="K30" s="136"/>
      <c r="L30" s="136"/>
      <c r="M30" s="136"/>
      <c r="N30" s="136"/>
      <c r="O30" s="116"/>
      <c r="P30" s="134"/>
      <c r="Q30" s="116"/>
    </row>
    <row r="31" spans="1:17" s="113" customFormat="1" ht="13.15" customHeight="1" x14ac:dyDescent="0.2">
      <c r="A31" s="397">
        <v>1</v>
      </c>
      <c r="B31" s="131" t="s">
        <v>33</v>
      </c>
      <c r="D31" s="131"/>
      <c r="G31" s="137">
        <v>9.9999999999999995E-7</v>
      </c>
      <c r="H31" s="137">
        <v>9.9999999999999995E-7</v>
      </c>
      <c r="I31" s="137">
        <v>9.9999999999999995E-7</v>
      </c>
      <c r="J31" s="136"/>
      <c r="K31" s="136"/>
      <c r="L31" s="136"/>
      <c r="M31" s="136"/>
      <c r="N31" s="136"/>
      <c r="O31" s="116"/>
      <c r="P31" s="134">
        <v>9.9999999999999995E-7</v>
      </c>
      <c r="Q31" s="116"/>
    </row>
    <row r="32" spans="1:17" s="113" customFormat="1" ht="6.4" customHeight="1" x14ac:dyDescent="0.2">
      <c r="A32" s="112"/>
      <c r="G32" s="138"/>
      <c r="H32" s="138"/>
      <c r="I32" s="138"/>
      <c r="J32" s="136"/>
      <c r="K32" s="136"/>
      <c r="L32" s="136"/>
      <c r="M32" s="136"/>
      <c r="N32" s="136"/>
      <c r="O32" s="116"/>
      <c r="P32" s="139"/>
      <c r="Q32" s="116"/>
    </row>
    <row r="33" spans="1:21" s="113" customFormat="1" ht="13.15" customHeight="1" x14ac:dyDescent="0.2">
      <c r="A33" s="112"/>
      <c r="B33" s="131" t="s">
        <v>34</v>
      </c>
      <c r="C33" s="131"/>
      <c r="D33" s="131"/>
      <c r="G33" s="135">
        <v>316</v>
      </c>
      <c r="H33" s="135">
        <v>306.10000000000002</v>
      </c>
      <c r="I33" s="135">
        <v>280.3</v>
      </c>
      <c r="J33" s="136"/>
      <c r="K33" s="136"/>
      <c r="L33" s="136"/>
      <c r="M33" s="136"/>
      <c r="N33" s="136"/>
      <c r="O33" s="116"/>
      <c r="P33" s="134"/>
      <c r="Q33" s="116"/>
      <c r="R33"/>
    </row>
    <row r="34" spans="1:21" s="113" customFormat="1" ht="13.15" customHeight="1" x14ac:dyDescent="0.2">
      <c r="A34" s="397">
        <v>1</v>
      </c>
      <c r="B34" s="131" t="s">
        <v>35</v>
      </c>
      <c r="C34" s="131"/>
      <c r="D34" s="131"/>
      <c r="G34" s="137">
        <v>9.9999999999999995E-7</v>
      </c>
      <c r="H34" s="137">
        <v>9.9999999999999995E-7</v>
      </c>
      <c r="I34" s="137">
        <v>9.9999999999999995E-7</v>
      </c>
      <c r="J34" s="136"/>
      <c r="K34" s="136"/>
      <c r="L34" s="136"/>
      <c r="M34" s="136"/>
      <c r="N34" s="136"/>
      <c r="O34" s="116"/>
      <c r="P34" s="134">
        <v>9.9999999999999995E-7</v>
      </c>
      <c r="Q34" s="116"/>
      <c r="R34"/>
    </row>
    <row r="35" spans="1:21" s="113" customFormat="1" ht="13.15" customHeight="1" x14ac:dyDescent="0.2">
      <c r="A35" s="112"/>
      <c r="B35" s="131" t="s">
        <v>36</v>
      </c>
      <c r="C35" s="131"/>
      <c r="D35" s="131"/>
      <c r="G35" s="135">
        <v>-85</v>
      </c>
      <c r="H35" s="135">
        <v>-90</v>
      </c>
      <c r="I35" s="135">
        <v>-115.1</v>
      </c>
      <c r="J35" s="136"/>
      <c r="K35" s="136"/>
      <c r="L35" s="136"/>
      <c r="M35" s="136"/>
      <c r="N35" s="136"/>
      <c r="O35" s="116"/>
      <c r="P35" s="134"/>
      <c r="Q35" s="116"/>
      <c r="R35"/>
    </row>
    <row r="36" spans="1:21" s="113" customFormat="1" ht="13.15" customHeight="1" x14ac:dyDescent="0.2">
      <c r="A36" s="112"/>
      <c r="B36" s="131" t="s">
        <v>37</v>
      </c>
      <c r="C36" s="131"/>
      <c r="D36" s="131"/>
      <c r="G36" s="135">
        <v>-0.5</v>
      </c>
      <c r="H36" s="135">
        <v>-1.9</v>
      </c>
      <c r="I36" s="135">
        <v>-3.4</v>
      </c>
      <c r="J36" s="136"/>
      <c r="K36" s="136"/>
      <c r="L36" s="136"/>
      <c r="M36" s="136"/>
      <c r="N36" s="136"/>
      <c r="O36" s="116"/>
      <c r="P36" s="134"/>
      <c r="Q36" s="116"/>
      <c r="R36"/>
    </row>
    <row r="37" spans="1:21" s="113" customFormat="1" ht="13.15" customHeight="1" x14ac:dyDescent="0.2">
      <c r="A37" s="397">
        <v>1</v>
      </c>
      <c r="B37" s="131" t="s">
        <v>38</v>
      </c>
      <c r="C37" s="131"/>
      <c r="D37" s="131"/>
      <c r="F37" s="138"/>
      <c r="G37" s="137">
        <v>9.9999999999999995E-7</v>
      </c>
      <c r="H37" s="137">
        <v>9.9999999999999995E-7</v>
      </c>
      <c r="I37" s="137">
        <v>9.9999999999999995E-7</v>
      </c>
      <c r="J37" s="136"/>
      <c r="K37" s="136"/>
      <c r="L37" s="136"/>
      <c r="M37" s="136"/>
      <c r="N37" s="136"/>
      <c r="O37" s="116"/>
      <c r="P37" s="134">
        <v>9.9999999999999995E-7</v>
      </c>
      <c r="Q37" s="116"/>
      <c r="R37"/>
    </row>
    <row r="38" spans="1:21" s="113" customFormat="1" ht="13.15" customHeight="1" x14ac:dyDescent="0.2">
      <c r="A38" s="112"/>
      <c r="B38" s="131" t="s">
        <v>39</v>
      </c>
      <c r="C38" s="131"/>
      <c r="D38" s="131"/>
      <c r="E38" s="142">
        <v>0.38</v>
      </c>
      <c r="G38" s="136">
        <f>-G37*$E38</f>
        <v>-3.7999999999999996E-7</v>
      </c>
      <c r="H38" s="136">
        <f t="shared" ref="H38:I38" si="1">-H37*$E38</f>
        <v>-3.7999999999999996E-7</v>
      </c>
      <c r="I38" s="136">
        <f t="shared" si="1"/>
        <v>-3.7999999999999996E-7</v>
      </c>
      <c r="J38" s="136"/>
      <c r="K38" s="136"/>
      <c r="L38" s="136"/>
      <c r="M38" s="136"/>
      <c r="N38" s="136"/>
      <c r="O38" s="116"/>
      <c r="P38" s="139"/>
      <c r="Q38" s="116"/>
      <c r="R38" s="116"/>
    </row>
    <row r="39" spans="1:21" s="113" customFormat="1" ht="13.15" customHeight="1" x14ac:dyDescent="0.2">
      <c r="A39" s="397">
        <v>1</v>
      </c>
      <c r="B39" s="131" t="s">
        <v>40</v>
      </c>
      <c r="C39" s="131"/>
      <c r="D39" s="131"/>
      <c r="G39" s="137">
        <v>9.9999999999999995E-7</v>
      </c>
      <c r="H39" s="137">
        <v>9.9999999999999995E-7</v>
      </c>
      <c r="I39" s="137">
        <v>9.9999999999999995E-7</v>
      </c>
      <c r="J39" s="136"/>
      <c r="K39" s="136"/>
      <c r="L39" s="136"/>
      <c r="M39" s="136"/>
      <c r="N39" s="136"/>
      <c r="O39" s="116"/>
      <c r="P39" s="134">
        <v>9.9999999999999995E-7</v>
      </c>
      <c r="Q39" s="116"/>
    </row>
    <row r="40" spans="1:21" s="113" customFormat="1" ht="6.4" customHeight="1" x14ac:dyDescent="0.2">
      <c r="A40" s="112"/>
      <c r="G40" s="138"/>
      <c r="H40" s="138"/>
      <c r="I40" s="138"/>
      <c r="J40" s="136"/>
      <c r="K40" s="136"/>
      <c r="L40" s="136"/>
      <c r="M40" s="136"/>
      <c r="N40" s="136"/>
      <c r="O40" s="116"/>
      <c r="P40" s="139"/>
      <c r="Q40" s="116"/>
    </row>
    <row r="41" spans="1:21" s="113" customFormat="1" ht="13.15" customHeight="1" x14ac:dyDescent="0.2">
      <c r="A41" s="112"/>
      <c r="B41" s="131" t="s">
        <v>42</v>
      </c>
      <c r="C41" s="131"/>
      <c r="D41" s="131"/>
      <c r="G41" s="138"/>
      <c r="H41" s="138">
        <f t="shared" ref="H41:I41" si="2">-(H35+H36)</f>
        <v>91.9</v>
      </c>
      <c r="I41" s="138">
        <f t="shared" si="2"/>
        <v>118.5</v>
      </c>
      <c r="J41" s="136"/>
      <c r="K41" s="136"/>
      <c r="L41" s="136"/>
      <c r="M41" s="136"/>
      <c r="N41" s="136"/>
      <c r="O41" s="116"/>
      <c r="P41" s="139"/>
      <c r="Q41" s="116"/>
      <c r="S41" s="143" t="s">
        <v>41</v>
      </c>
      <c r="T41" s="140"/>
      <c r="U41" s="141"/>
    </row>
    <row r="42" spans="1:21" s="113" customFormat="1" ht="13.15" customHeight="1" x14ac:dyDescent="0.2">
      <c r="A42" s="112"/>
      <c r="B42" s="131" t="s">
        <v>45</v>
      </c>
      <c r="C42" s="131"/>
      <c r="D42" s="131"/>
      <c r="G42" s="138"/>
      <c r="H42" s="135">
        <v>-95.8</v>
      </c>
      <c r="I42" s="135">
        <v>-120.6</v>
      </c>
      <c r="J42" s="136"/>
      <c r="K42" s="136"/>
      <c r="L42" s="136"/>
      <c r="M42" s="136"/>
      <c r="N42" s="136"/>
      <c r="O42" s="116"/>
      <c r="P42" s="139"/>
      <c r="Q42" s="116"/>
      <c r="S42" s="144"/>
      <c r="T42" s="220" t="s">
        <v>43</v>
      </c>
      <c r="U42" s="221" t="s">
        <v>44</v>
      </c>
    </row>
    <row r="43" spans="1:21" s="113" customFormat="1" ht="13.15" customHeight="1" x14ac:dyDescent="0.2">
      <c r="A43" s="112"/>
      <c r="B43" s="131" t="s">
        <v>49</v>
      </c>
      <c r="C43" s="131"/>
      <c r="D43" s="131"/>
      <c r="G43" s="138"/>
      <c r="H43" s="135">
        <v>-2</v>
      </c>
      <c r="I43" s="135">
        <v>-4</v>
      </c>
      <c r="J43" s="136"/>
      <c r="K43" s="136"/>
      <c r="L43" s="136"/>
      <c r="M43" s="136"/>
      <c r="N43" s="136"/>
      <c r="O43" s="116"/>
      <c r="P43" s="139"/>
      <c r="Q43" s="116"/>
      <c r="S43" s="366" t="s">
        <v>46</v>
      </c>
      <c r="T43" s="367" t="s">
        <v>47</v>
      </c>
      <c r="U43" s="368" t="s">
        <v>48</v>
      </c>
    </row>
    <row r="44" spans="1:21" s="113" customFormat="1" ht="13.15" customHeight="1" x14ac:dyDescent="0.2">
      <c r="A44" s="112"/>
      <c r="B44" s="146" t="s">
        <v>53</v>
      </c>
      <c r="C44" s="131"/>
      <c r="D44" s="131"/>
      <c r="E44" s="131"/>
      <c r="F44" s="131"/>
      <c r="G44" s="138"/>
      <c r="H44" s="135">
        <v>-19.2</v>
      </c>
      <c r="I44" s="135">
        <v>-20</v>
      </c>
      <c r="J44" s="136"/>
      <c r="K44" s="136"/>
      <c r="L44" s="136"/>
      <c r="M44" s="136"/>
      <c r="N44" s="136"/>
      <c r="O44" s="116"/>
      <c r="P44" s="139"/>
      <c r="Q44" s="147"/>
      <c r="R44" s="116"/>
      <c r="S44" s="215" t="s">
        <v>50</v>
      </c>
      <c r="T44" s="369" t="s">
        <v>51</v>
      </c>
      <c r="U44" s="145" t="s">
        <v>52</v>
      </c>
    </row>
    <row r="45" spans="1:21" s="153" customFormat="1" ht="13.15" customHeight="1" x14ac:dyDescent="0.2">
      <c r="A45" s="397">
        <v>1</v>
      </c>
      <c r="B45" s="148" t="s">
        <v>54</v>
      </c>
      <c r="C45" s="148"/>
      <c r="D45" s="148"/>
      <c r="E45" s="114"/>
      <c r="F45" s="114"/>
      <c r="G45" s="149"/>
      <c r="H45" s="150">
        <v>9.9999999999999995E-7</v>
      </c>
      <c r="I45" s="150">
        <v>9.9999999999999995E-7</v>
      </c>
      <c r="J45" s="151"/>
      <c r="K45" s="151"/>
      <c r="L45" s="151"/>
      <c r="M45" s="151"/>
      <c r="N45" s="151"/>
      <c r="O45" s="114"/>
      <c r="P45" s="152">
        <v>9.9999999999999995E-7</v>
      </c>
      <c r="Q45" s="114"/>
      <c r="R45" s="114"/>
    </row>
    <row r="46" spans="1:21" s="153" customFormat="1" ht="13.15" customHeight="1" x14ac:dyDescent="0.2">
      <c r="A46" s="112"/>
      <c r="B46" s="148"/>
      <c r="C46" s="148"/>
      <c r="D46" s="148"/>
      <c r="E46" s="114"/>
      <c r="F46" s="114"/>
      <c r="G46" s="149"/>
      <c r="H46" s="151"/>
      <c r="I46" s="151"/>
      <c r="J46" s="151"/>
      <c r="K46" s="151"/>
      <c r="L46" s="151"/>
      <c r="M46" s="151"/>
      <c r="N46" s="151"/>
      <c r="O46" s="114"/>
      <c r="P46" s="152"/>
      <c r="Q46" s="114"/>
      <c r="R46" s="114"/>
    </row>
    <row r="47" spans="1:21" s="116" customFormat="1" ht="13.15" customHeight="1" x14ac:dyDescent="0.2">
      <c r="A47" s="112"/>
      <c r="B47" s="154"/>
      <c r="C47" s="154"/>
      <c r="D47" s="154"/>
      <c r="E47" s="122"/>
      <c r="F47" s="122"/>
      <c r="H47" s="155"/>
      <c r="I47" s="155"/>
      <c r="J47" s="155"/>
      <c r="K47" s="155"/>
      <c r="L47" s="155"/>
      <c r="M47" s="155"/>
      <c r="N47" s="155"/>
    </row>
    <row r="48" spans="1:21" s="113" customFormat="1" ht="12.75" customHeight="1" x14ac:dyDescent="0.2">
      <c r="A48" s="112"/>
      <c r="G48" s="125" t="s">
        <v>28</v>
      </c>
      <c r="H48" s="126"/>
      <c r="I48" s="127"/>
      <c r="J48" s="125" t="s">
        <v>29</v>
      </c>
      <c r="K48" s="128"/>
      <c r="L48" s="128"/>
      <c r="M48" s="128"/>
      <c r="N48" s="129"/>
    </row>
    <row r="49" spans="1:24" s="113" customFormat="1" ht="13.15" customHeight="1" x14ac:dyDescent="0.2">
      <c r="A49" s="112"/>
      <c r="B49" s="156" t="s">
        <v>55</v>
      </c>
      <c r="G49" s="379">
        <f t="shared" ref="G49:N49" si="3">G27</f>
        <v>2013</v>
      </c>
      <c r="H49" s="379">
        <f t="shared" si="3"/>
        <v>2014</v>
      </c>
      <c r="I49" s="380">
        <f t="shared" si="3"/>
        <v>2015</v>
      </c>
      <c r="J49" s="379">
        <f t="shared" si="3"/>
        <v>2016</v>
      </c>
      <c r="K49" s="379">
        <f t="shared" si="3"/>
        <v>2017</v>
      </c>
      <c r="L49" s="379">
        <f t="shared" si="3"/>
        <v>2018</v>
      </c>
      <c r="M49" s="379">
        <f t="shared" si="3"/>
        <v>2019</v>
      </c>
      <c r="N49" s="379">
        <f t="shared" si="3"/>
        <v>2020</v>
      </c>
      <c r="P49" s="116"/>
      <c r="Q49" s="157" t="s">
        <v>56</v>
      </c>
    </row>
    <row r="50" spans="1:24" s="113" customFormat="1" ht="12.75" customHeight="1" x14ac:dyDescent="0.2">
      <c r="A50" s="112"/>
      <c r="G50" s="116"/>
      <c r="H50" s="116"/>
      <c r="I50" s="116"/>
      <c r="J50" s="116"/>
      <c r="K50" s="116"/>
      <c r="L50" s="116"/>
      <c r="M50" s="116"/>
      <c r="N50" s="116"/>
      <c r="P50" s="116"/>
    </row>
    <row r="51" spans="1:24" s="116" customFormat="1" ht="13.15" customHeight="1" x14ac:dyDescent="0.2">
      <c r="A51" s="397">
        <v>2</v>
      </c>
      <c r="C51" s="158" t="s">
        <v>57</v>
      </c>
      <c r="G51" s="537"/>
      <c r="H51" s="159">
        <v>9.9999999999999995E-7</v>
      </c>
      <c r="I51" s="159">
        <v>9.9999999999999995E-7</v>
      </c>
      <c r="J51" s="160">
        <v>0.04</v>
      </c>
      <c r="K51" s="159"/>
      <c r="L51" s="159"/>
      <c r="M51" s="159"/>
      <c r="N51" s="159"/>
      <c r="Q51" s="160"/>
      <c r="S51" s="113"/>
      <c r="T51" s="113"/>
      <c r="U51" s="113"/>
      <c r="V51" s="113"/>
      <c r="W51" s="113"/>
      <c r="X51" s="113"/>
    </row>
    <row r="52" spans="1:24" s="113" customFormat="1" ht="13.15" customHeight="1" x14ac:dyDescent="0.2">
      <c r="A52" s="397">
        <v>2</v>
      </c>
      <c r="B52" s="116"/>
      <c r="C52" s="158" t="s">
        <v>58</v>
      </c>
      <c r="F52" s="116"/>
      <c r="G52" s="159">
        <f>G30/G29</f>
        <v>0.74984997856836699</v>
      </c>
      <c r="H52" s="159">
        <v>9.9999999999999995E-7</v>
      </c>
      <c r="I52" s="159">
        <v>9.9999999999999995E-7</v>
      </c>
      <c r="J52" s="160">
        <v>0.78</v>
      </c>
      <c r="K52" s="159"/>
      <c r="L52" s="159"/>
      <c r="M52" s="159"/>
      <c r="N52" s="159"/>
      <c r="Q52" s="160">
        <v>-1E-3</v>
      </c>
    </row>
    <row r="53" spans="1:24" s="113" customFormat="1" ht="13.15" customHeight="1" x14ac:dyDescent="0.2">
      <c r="A53" s="112"/>
      <c r="B53" s="116"/>
      <c r="C53" s="158" t="s">
        <v>59</v>
      </c>
      <c r="F53" s="116"/>
      <c r="G53" s="159">
        <f>G33/G29</f>
        <v>6.7723960565795119E-2</v>
      </c>
      <c r="H53" s="159">
        <f>H33/H29</f>
        <v>6.3878628518959091E-2</v>
      </c>
      <c r="I53" s="159">
        <f>I33/I29</f>
        <v>5.6193741103827105E-2</v>
      </c>
      <c r="J53" s="160">
        <v>5.6000000000000001E-2</v>
      </c>
      <c r="K53" s="159"/>
      <c r="L53" s="159"/>
      <c r="M53" s="159"/>
      <c r="N53" s="159"/>
      <c r="Q53" s="160"/>
    </row>
    <row r="54" spans="1:24" s="113" customFormat="1" ht="13.15" customHeight="1" x14ac:dyDescent="0.2">
      <c r="A54" s="397">
        <v>2</v>
      </c>
      <c r="C54" s="161" t="s">
        <v>60</v>
      </c>
      <c r="G54" s="159">
        <f>G34/G29</f>
        <v>2.1431633090441491E-10</v>
      </c>
      <c r="H54" s="159">
        <v>9.9999999999999995E-7</v>
      </c>
      <c r="I54" s="159">
        <v>9.9999999999999995E-7</v>
      </c>
      <c r="J54" s="159"/>
      <c r="K54" s="159"/>
      <c r="L54" s="159"/>
      <c r="M54" s="159"/>
      <c r="N54" s="159"/>
      <c r="Q54" s="160"/>
    </row>
    <row r="55" spans="1:24" s="113" customFormat="1" ht="13.15" customHeight="1" x14ac:dyDescent="0.2">
      <c r="A55" s="112"/>
      <c r="C55" s="161" t="s">
        <v>61</v>
      </c>
      <c r="H55" s="159">
        <f>IF(H29=0,0,-H42/H29)</f>
        <v>1.9992069951376281E-2</v>
      </c>
      <c r="I55" s="159">
        <f>IF(I29=0,0,-I42/I29)</f>
        <v>2.4177542551272024E-2</v>
      </c>
      <c r="J55" s="160">
        <v>2.5000000000000001E-2</v>
      </c>
      <c r="K55" s="159">
        <f t="shared" ref="K55:N59" si="4">J55</f>
        <v>2.5000000000000001E-2</v>
      </c>
      <c r="L55" s="159">
        <f t="shared" si="4"/>
        <v>2.5000000000000001E-2</v>
      </c>
      <c r="M55" s="159">
        <f t="shared" si="4"/>
        <v>2.5000000000000001E-2</v>
      </c>
      <c r="N55" s="159">
        <f t="shared" si="4"/>
        <v>2.5000000000000001E-2</v>
      </c>
      <c r="Q55" s="160"/>
    </row>
    <row r="56" spans="1:24" s="113" customFormat="1" ht="13.15" customHeight="1" x14ac:dyDescent="0.2">
      <c r="A56" s="112"/>
      <c r="C56" s="161" t="s">
        <v>62</v>
      </c>
      <c r="G56" s="162"/>
      <c r="H56" s="159">
        <f>IF(H42=0,0,H35/H42)</f>
        <v>0.93945720250521925</v>
      </c>
      <c r="I56" s="159">
        <f>IF(I42=0,0,I35/I42)</f>
        <v>0.95439469320066339</v>
      </c>
      <c r="J56" s="160">
        <v>0.98</v>
      </c>
      <c r="K56" s="159">
        <f t="shared" si="4"/>
        <v>0.98</v>
      </c>
      <c r="L56" s="159">
        <f t="shared" si="4"/>
        <v>0.98</v>
      </c>
      <c r="M56" s="159">
        <f t="shared" si="4"/>
        <v>0.98</v>
      </c>
      <c r="N56" s="159">
        <f t="shared" si="4"/>
        <v>0.98</v>
      </c>
      <c r="Q56" s="160">
        <v>5.0000000000000001E-3</v>
      </c>
    </row>
    <row r="57" spans="1:24" s="113" customFormat="1" ht="13.15" customHeight="1" x14ac:dyDescent="0.2">
      <c r="A57" s="112"/>
      <c r="C57" s="161" t="s">
        <v>63</v>
      </c>
      <c r="H57" s="163">
        <f>-H43</f>
        <v>2</v>
      </c>
      <c r="I57" s="133">
        <f>-I43</f>
        <v>4</v>
      </c>
      <c r="J57" s="164">
        <v>5</v>
      </c>
      <c r="K57" s="165">
        <f t="shared" si="4"/>
        <v>5</v>
      </c>
      <c r="L57" s="165">
        <f t="shared" si="4"/>
        <v>5</v>
      </c>
      <c r="M57" s="165">
        <f t="shared" si="4"/>
        <v>5</v>
      </c>
      <c r="N57" s="165">
        <f t="shared" si="4"/>
        <v>5</v>
      </c>
      <c r="Q57" s="164"/>
      <c r="U57" s="166"/>
    </row>
    <row r="58" spans="1:24" s="113" customFormat="1" ht="13.15" customHeight="1" x14ac:dyDescent="0.2">
      <c r="A58" s="112"/>
      <c r="C58" s="161" t="s">
        <v>64</v>
      </c>
      <c r="H58" s="138">
        <f>-H36</f>
        <v>1.9</v>
      </c>
      <c r="I58" s="136">
        <f>-I36</f>
        <v>3.4</v>
      </c>
      <c r="J58" s="167">
        <v>4.5</v>
      </c>
      <c r="K58" s="168">
        <f>J58+$Q58</f>
        <v>4.5999999999999996</v>
      </c>
      <c r="L58" s="168">
        <f t="shared" ref="L58:N58" si="5">K58+$Q58</f>
        <v>4.6999999999999993</v>
      </c>
      <c r="M58" s="168">
        <f t="shared" si="5"/>
        <v>4.7999999999999989</v>
      </c>
      <c r="N58" s="168">
        <f t="shared" si="5"/>
        <v>4.8999999999999986</v>
      </c>
      <c r="Q58" s="167">
        <v>0.1</v>
      </c>
    </row>
    <row r="59" spans="1:24" s="113" customFormat="1" ht="13.15" customHeight="1" x14ac:dyDescent="0.2">
      <c r="A59" s="112"/>
      <c r="C59" s="161" t="s">
        <v>65</v>
      </c>
      <c r="G59" s="105"/>
      <c r="H59" s="159">
        <f>IF(H29=0,0,H44/H29)</f>
        <v>-4.0067614098791716E-3</v>
      </c>
      <c r="I59" s="159">
        <f>IF(I29=0,0,I44/I29)</f>
        <v>-4.0095427116537356E-3</v>
      </c>
      <c r="J59" s="160">
        <v>-4.0000000000000001E-3</v>
      </c>
      <c r="K59" s="159">
        <f t="shared" si="4"/>
        <v>-4.0000000000000001E-3</v>
      </c>
      <c r="L59" s="159">
        <f t="shared" si="4"/>
        <v>-4.0000000000000001E-3</v>
      </c>
      <c r="M59" s="159">
        <f t="shared" si="4"/>
        <v>-4.0000000000000001E-3</v>
      </c>
      <c r="N59" s="159">
        <f t="shared" si="4"/>
        <v>-4.0000000000000001E-3</v>
      </c>
      <c r="Q59" s="160"/>
    </row>
    <row r="60" spans="1:24" s="113" customFormat="1" ht="13.15" customHeight="1" x14ac:dyDescent="0.2">
      <c r="A60" s="112"/>
      <c r="B60" s="105"/>
      <c r="C60" s="105"/>
      <c r="D60" s="105"/>
      <c r="E60" s="105"/>
      <c r="G60" s="131"/>
      <c r="H60" s="162"/>
      <c r="I60" s="162"/>
      <c r="J60" s="169"/>
      <c r="K60" s="170"/>
      <c r="L60" s="170"/>
      <c r="M60" s="170"/>
      <c r="N60" s="170"/>
      <c r="Q60" s="105"/>
    </row>
    <row r="61" spans="1:24" ht="13.15" customHeight="1" x14ac:dyDescent="0.2">
      <c r="A61" s="112"/>
      <c r="C61" s="171" t="s">
        <v>66</v>
      </c>
      <c r="D61" s="172"/>
      <c r="E61" s="173"/>
      <c r="F61" s="173"/>
      <c r="G61" s="174">
        <v>0.08</v>
      </c>
      <c r="I61" s="175" t="s">
        <v>67</v>
      </c>
      <c r="J61" s="176"/>
      <c r="K61" s="177"/>
      <c r="L61" s="177"/>
      <c r="M61" s="177"/>
      <c r="N61" s="178"/>
    </row>
    <row r="62" spans="1:24" ht="13.15" customHeight="1" x14ac:dyDescent="0.2">
      <c r="A62" s="112"/>
      <c r="C62" s="179" t="s">
        <v>68</v>
      </c>
      <c r="D62" s="180"/>
      <c r="E62" s="155"/>
      <c r="F62" s="155"/>
      <c r="G62" s="181">
        <v>0.03</v>
      </c>
      <c r="J62" s="182"/>
      <c r="K62" s="183" t="s">
        <v>57</v>
      </c>
      <c r="L62" s="184"/>
      <c r="M62" s="184"/>
      <c r="N62" s="184"/>
      <c r="Q62" s="185" t="s">
        <v>69</v>
      </c>
      <c r="R62" s="186" t="s">
        <v>70</v>
      </c>
    </row>
    <row r="63" spans="1:24" ht="13.15" customHeight="1" x14ac:dyDescent="0.2">
      <c r="A63" s="112"/>
      <c r="J63" s="187">
        <f>G74</f>
        <v>9.9999999999999995E-7</v>
      </c>
      <c r="K63" s="188">
        <v>0.03</v>
      </c>
      <c r="L63" s="189">
        <f>K63+$R$63</f>
        <v>3.4999999999999996E-2</v>
      </c>
      <c r="M63" s="189">
        <f>L63+$R$63</f>
        <v>3.9999999999999994E-2</v>
      </c>
      <c r="N63" s="189">
        <f>M63+$R$63</f>
        <v>4.4999999999999991E-2</v>
      </c>
      <c r="Q63" s="190">
        <v>3.0000000000000001E-3</v>
      </c>
      <c r="R63" s="190">
        <v>5.0000000000000001E-3</v>
      </c>
    </row>
    <row r="64" spans="1:24" ht="13.15" customHeight="1" x14ac:dyDescent="0.2">
      <c r="A64" s="112"/>
      <c r="C64" s="131" t="s">
        <v>71</v>
      </c>
      <c r="D64" s="131"/>
      <c r="E64" s="113"/>
      <c r="F64" s="113"/>
      <c r="G64" s="163">
        <v>9.9999999999999995E-7</v>
      </c>
      <c r="J64" s="139">
        <f>J65-$Q$63</f>
        <v>0.76800000000000002</v>
      </c>
      <c r="K64" s="191"/>
      <c r="L64" s="192"/>
      <c r="M64" s="192"/>
      <c r="N64" s="193"/>
    </row>
    <row r="65" spans="1:22" ht="13.15" customHeight="1" x14ac:dyDescent="0.2">
      <c r="A65" s="112"/>
      <c r="C65" s="194" t="s">
        <v>72</v>
      </c>
      <c r="D65" s="194"/>
      <c r="E65" s="116"/>
      <c r="F65" s="116"/>
      <c r="G65" s="195">
        <v>9.9999999999999995E-7</v>
      </c>
      <c r="J65" s="189">
        <f>J66-$Q$63</f>
        <v>0.77100000000000002</v>
      </c>
      <c r="K65" s="196"/>
      <c r="L65" s="197"/>
      <c r="M65" s="197"/>
      <c r="N65" s="198"/>
      <c r="Q65" s="551" t="str">
        <f>"Steps to complete the data table"</f>
        <v>Steps to complete the data table</v>
      </c>
      <c r="R65" s="552"/>
      <c r="S65" s="552"/>
      <c r="T65" s="552"/>
      <c r="U65" s="552"/>
      <c r="V65" s="553"/>
    </row>
    <row r="66" spans="1:22" ht="13.15" customHeight="1" x14ac:dyDescent="0.2">
      <c r="A66" s="112"/>
      <c r="C66" s="131" t="s">
        <v>73</v>
      </c>
      <c r="D66" s="131"/>
      <c r="E66" s="113"/>
      <c r="F66" s="113"/>
      <c r="G66" s="138">
        <v>9.9999999999999995E-7</v>
      </c>
      <c r="I66" s="199"/>
      <c r="J66" s="189">
        <f>J67-$Q$63</f>
        <v>0.77400000000000002</v>
      </c>
      <c r="K66" s="196"/>
      <c r="L66" s="197"/>
      <c r="M66" s="197"/>
      <c r="N66" s="198"/>
      <c r="Q66" s="554" t="str">
        <f>"1) Link the ''Output Cell'' "&amp;ADDRESS(ROW(J63),COLUMN(J63),4) &amp;" to the cell you want to ''study'' "&amp;ADDRESS(ROW(G74),COLUMN(G74),4)</f>
        <v>1) Link the ''Output Cell'' J63 to the cell you want to ''study'' G74</v>
      </c>
      <c r="R66" s="200"/>
      <c r="S66" s="200"/>
      <c r="T66" s="200"/>
      <c r="U66" s="200"/>
      <c r="V66" s="555"/>
    </row>
    <row r="67" spans="1:22" ht="13.15" customHeight="1" x14ac:dyDescent="0.2">
      <c r="A67" s="112"/>
      <c r="C67" s="201" t="s">
        <v>74</v>
      </c>
      <c r="D67" s="201"/>
      <c r="E67" s="202"/>
      <c r="F67" s="202"/>
      <c r="G67" s="150">
        <v>9.9999999999999995E-7</v>
      </c>
      <c r="J67" s="189">
        <f>J68-$Q$63</f>
        <v>0.77700000000000002</v>
      </c>
      <c r="K67" s="196"/>
      <c r="L67" s="197"/>
      <c r="M67" s="197"/>
      <c r="N67" s="198"/>
      <c r="Q67" s="554" t="str">
        <f>"2) Highlight the range "&amp;ADDRESS(ROW(J63),COLUMN(J63),4)&amp;":"&amp;ADDRESS(ROW(N72),COLUMN(N72),4)</f>
        <v>2) Highlight the range J63:N72</v>
      </c>
      <c r="R67" s="200"/>
      <c r="S67" s="200"/>
      <c r="T67" s="200"/>
      <c r="U67" s="200"/>
      <c r="V67" s="555"/>
    </row>
    <row r="68" spans="1:22" ht="13.15" customHeight="1" x14ac:dyDescent="0.2">
      <c r="A68" s="112"/>
      <c r="C68" s="113" t="s">
        <v>75</v>
      </c>
      <c r="D68" s="131"/>
      <c r="E68" s="113"/>
      <c r="F68" s="113"/>
      <c r="G68" s="203">
        <v>-523</v>
      </c>
      <c r="I68" s="204" t="s">
        <v>76</v>
      </c>
      <c r="J68" s="142">
        <v>0.78</v>
      </c>
      <c r="K68" s="196"/>
      <c r="L68" s="197"/>
      <c r="M68" s="197"/>
      <c r="N68" s="198"/>
      <c r="Q68" s="554" t="s">
        <v>77</v>
      </c>
      <c r="R68" s="200"/>
      <c r="S68" s="200"/>
      <c r="T68" s="200"/>
      <c r="U68" s="200"/>
      <c r="V68" s="555"/>
    </row>
    <row r="69" spans="1:22" ht="13.15" customHeight="1" x14ac:dyDescent="0.2">
      <c r="A69" s="112"/>
      <c r="C69" s="113" t="s">
        <v>78</v>
      </c>
      <c r="D69" s="131"/>
      <c r="E69" s="113"/>
      <c r="F69" s="113"/>
      <c r="G69" s="167">
        <v>48.1</v>
      </c>
      <c r="J69" s="189">
        <f>J68+$Q$63</f>
        <v>0.78300000000000003</v>
      </c>
      <c r="K69" s="196"/>
      <c r="L69" s="197"/>
      <c r="M69" s="197"/>
      <c r="N69" s="198"/>
      <c r="Q69" s="560" t="s">
        <v>104</v>
      </c>
      <c r="R69" s="200"/>
      <c r="S69" s="200"/>
      <c r="T69" s="200"/>
      <c r="U69" s="200"/>
      <c r="V69" s="555"/>
    </row>
    <row r="70" spans="1:22" ht="13.15" customHeight="1" x14ac:dyDescent="0.2">
      <c r="A70" s="112"/>
      <c r="C70" s="201" t="s">
        <v>79</v>
      </c>
      <c r="D70" s="201"/>
      <c r="E70" s="202"/>
      <c r="F70" s="202"/>
      <c r="G70" s="150">
        <v>9.9999999999999995E-7</v>
      </c>
      <c r="J70" s="189">
        <f>J69+$Q$63</f>
        <v>0.78600000000000003</v>
      </c>
      <c r="K70" s="196"/>
      <c r="L70" s="197"/>
      <c r="M70" s="197"/>
      <c r="N70" s="198"/>
      <c r="Q70" s="560" t="s">
        <v>80</v>
      </c>
      <c r="R70" s="200"/>
      <c r="S70" s="200"/>
      <c r="T70" s="200"/>
      <c r="U70" s="200"/>
      <c r="V70" s="555"/>
    </row>
    <row r="71" spans="1:22" ht="13.15" customHeight="1" x14ac:dyDescent="0.2">
      <c r="A71" s="112"/>
      <c r="J71" s="189">
        <f>J70+$Q$63</f>
        <v>0.78900000000000003</v>
      </c>
      <c r="K71" s="196"/>
      <c r="L71" s="197"/>
      <c r="M71" s="197"/>
      <c r="N71" s="198"/>
      <c r="Q71" s="560" t="s">
        <v>81</v>
      </c>
      <c r="R71" s="200"/>
      <c r="S71" s="200"/>
      <c r="T71" s="200"/>
      <c r="U71" s="200"/>
      <c r="V71" s="555"/>
    </row>
    <row r="72" spans="1:22" ht="13.15" customHeight="1" thickBot="1" x14ac:dyDescent="0.25">
      <c r="A72" s="112"/>
      <c r="D72" s="113"/>
      <c r="E72" s="113"/>
      <c r="F72" s="205" t="s">
        <v>82</v>
      </c>
      <c r="G72" s="206">
        <v>241.48099999999999</v>
      </c>
      <c r="J72" s="189">
        <f>J71+$Q$63</f>
        <v>0.79200000000000004</v>
      </c>
      <c r="K72" s="207"/>
      <c r="L72" s="208"/>
      <c r="M72" s="208"/>
      <c r="N72" s="209"/>
      <c r="Q72" s="554" t="str">
        <f>"4) Row input cell select "&amp;ADDRESS(ROW(J51),COLUMN(J51),4)&amp;". Column input cell select "&amp;ADDRESS(ROW(J52),COLUMN(J52),4)</f>
        <v>4) Row input cell select J51. Column input cell select J52</v>
      </c>
      <c r="R72" s="200"/>
      <c r="S72" s="200"/>
      <c r="T72" s="200"/>
      <c r="U72" s="200"/>
      <c r="V72" s="555"/>
    </row>
    <row r="73" spans="1:22" ht="13.15" customHeight="1" thickTop="1" x14ac:dyDescent="0.2">
      <c r="A73" s="112"/>
      <c r="D73" s="194"/>
      <c r="E73" s="116"/>
      <c r="F73" s="116"/>
      <c r="G73" s="116"/>
      <c r="Q73" s="556" t="s">
        <v>83</v>
      </c>
      <c r="R73" s="200"/>
      <c r="S73" s="200"/>
      <c r="T73" s="200"/>
      <c r="U73" s="200"/>
      <c r="V73" s="555"/>
    </row>
    <row r="74" spans="1:22" ht="13.15" customHeight="1" thickBot="1" x14ac:dyDescent="0.25">
      <c r="A74" s="354" t="s">
        <v>23</v>
      </c>
      <c r="B74" s="354"/>
      <c r="D74" s="210"/>
      <c r="E74" s="211"/>
      <c r="F74" s="212" t="s">
        <v>84</v>
      </c>
      <c r="G74" s="213">
        <v>9.9999999999999995E-7</v>
      </c>
      <c r="I74"/>
      <c r="J74"/>
      <c r="L74"/>
      <c r="M74"/>
      <c r="N74"/>
      <c r="Q74" s="561" t="s">
        <v>85</v>
      </c>
      <c r="R74" s="558"/>
      <c r="S74" s="558"/>
      <c r="T74" s="558"/>
      <c r="U74" s="558"/>
      <c r="V74" s="559"/>
    </row>
    <row r="75" spans="1:22" ht="13.15" customHeight="1" thickTop="1" x14ac:dyDescent="0.2">
      <c r="A75" s="354"/>
      <c r="B75" s="354"/>
      <c r="I75"/>
      <c r="J75"/>
      <c r="L75"/>
      <c r="M75"/>
      <c r="N75"/>
    </row>
    <row r="76" spans="1:22" ht="13.15" customHeight="1" x14ac:dyDescent="0.2">
      <c r="A76" s="354"/>
      <c r="B76" s="354"/>
      <c r="I76"/>
      <c r="J76"/>
      <c r="L76"/>
      <c r="M76"/>
      <c r="N76"/>
      <c r="Q76" s="551" t="str">
        <f>"Adding Conditional Formatting"</f>
        <v>Adding Conditional Formatting</v>
      </c>
      <c r="R76" s="552"/>
      <c r="S76" s="552"/>
      <c r="T76" s="552"/>
      <c r="U76" s="552"/>
      <c r="V76" s="553"/>
    </row>
    <row r="77" spans="1:22" ht="13.15" customHeight="1" x14ac:dyDescent="0.2">
      <c r="A77" s="354"/>
      <c r="B77" s="354"/>
      <c r="I77"/>
      <c r="J77"/>
      <c r="L77"/>
      <c r="M77"/>
      <c r="N77"/>
      <c r="Q77" s="554" t="str">
        <f>"1) Highlight the range "&amp;ADDRESS(ROW(K64),COLUMN(K64),4)&amp;":"&amp;ADDRESS(ROW(N72),COLUMN(N72),4)</f>
        <v>1) Highlight the range K64:N72</v>
      </c>
      <c r="R77" s="200"/>
      <c r="S77" s="200"/>
      <c r="T77" s="200"/>
      <c r="U77" s="200"/>
      <c r="V77" s="555"/>
    </row>
    <row r="78" spans="1:22" ht="13.15" customHeight="1" x14ac:dyDescent="0.2">
      <c r="A78" s="354"/>
      <c r="B78" s="354"/>
      <c r="I78"/>
      <c r="J78"/>
      <c r="L78"/>
      <c r="M78"/>
      <c r="N78"/>
      <c r="Q78" s="556" t="s">
        <v>200</v>
      </c>
      <c r="R78" s="200"/>
      <c r="S78" s="200"/>
      <c r="T78" s="200"/>
      <c r="U78" s="200"/>
      <c r="V78" s="555"/>
    </row>
    <row r="79" spans="1:22" ht="13.15" customHeight="1" x14ac:dyDescent="0.2">
      <c r="A79" s="354"/>
      <c r="B79" s="354"/>
      <c r="I79"/>
      <c r="J79"/>
      <c r="L79"/>
      <c r="M79"/>
      <c r="N79" s="113"/>
      <c r="Q79" s="556" t="s">
        <v>202</v>
      </c>
      <c r="R79" s="200"/>
      <c r="S79" s="200"/>
      <c r="T79" s="200"/>
      <c r="U79" s="200"/>
      <c r="V79" s="555"/>
    </row>
    <row r="80" spans="1:22" ht="13.15" customHeight="1" x14ac:dyDescent="0.2">
      <c r="A80" s="354"/>
      <c r="B80" s="354"/>
      <c r="I80"/>
      <c r="J80"/>
      <c r="L80"/>
      <c r="M80"/>
      <c r="Q80" s="557" t="s">
        <v>201</v>
      </c>
      <c r="R80" s="558"/>
      <c r="S80" s="558"/>
      <c r="T80" s="558"/>
      <c r="U80" s="558"/>
      <c r="V80" s="559"/>
    </row>
    <row r="81" spans="1:14" ht="13.15" customHeight="1" x14ac:dyDescent="0.2">
      <c r="A81" s="354"/>
      <c r="B81" s="354"/>
      <c r="I81"/>
      <c r="J81"/>
      <c r="L81"/>
      <c r="M81"/>
    </row>
    <row r="82" spans="1:14" ht="13.15" customHeight="1" x14ac:dyDescent="0.2">
      <c r="A82" s="354" t="s">
        <v>23</v>
      </c>
      <c r="B82" s="354" t="s">
        <v>86</v>
      </c>
      <c r="L82"/>
      <c r="M82"/>
      <c r="N82"/>
    </row>
    <row r="83" spans="1:14" ht="13.15" customHeight="1" x14ac:dyDescent="0.2">
      <c r="L83"/>
      <c r="M83"/>
      <c r="N83"/>
    </row>
  </sheetData>
  <sheetProtection formatCells="0" formatColumns="0" formatRows="0" insertColumns="0" insertRows="0" insertHyperlinks="0" deleteColumns="0" deleteRows="0" sort="0" autoFilter="0" pivotTables="0"/>
  <protectedRanges>
    <protectedRange sqref="G61:G62" name="Range1"/>
    <protectedRange sqref="G65" name="Range1_1"/>
  </protectedRanges>
  <mergeCells count="2">
    <mergeCell ref="R7:R9"/>
    <mergeCell ref="R2:R6"/>
  </mergeCells>
  <conditionalFormatting sqref="J63">
    <cfRule type="cellIs" dxfId="121" priority="12" stopIfTrue="1" operator="equal">
      <formula>0</formula>
    </cfRule>
  </conditionalFormatting>
  <conditionalFormatting sqref="G54:I54 G52:I52 H51:I51">
    <cfRule type="cellIs" dxfId="120" priority="13" stopIfTrue="1" operator="equal">
      <formula>0.000001</formula>
    </cfRule>
  </conditionalFormatting>
  <conditionalFormatting sqref="G31:I31">
    <cfRule type="cellIs" dxfId="119" priority="11" stopIfTrue="1" operator="equal">
      <formula>0.000001</formula>
    </cfRule>
  </conditionalFormatting>
  <conditionalFormatting sqref="G34:I34">
    <cfRule type="cellIs" dxfId="118" priority="10" stopIfTrue="1" operator="equal">
      <formula>0.000001</formula>
    </cfRule>
  </conditionalFormatting>
  <conditionalFormatting sqref="G37:I37">
    <cfRule type="cellIs" dxfId="117" priority="9" stopIfTrue="1" operator="equal">
      <formula>0.000001</formula>
    </cfRule>
  </conditionalFormatting>
  <conditionalFormatting sqref="G39:I39">
    <cfRule type="cellIs" dxfId="116" priority="8" stopIfTrue="1" operator="equal">
      <formula>0.000001</formula>
    </cfRule>
  </conditionalFormatting>
  <conditionalFormatting sqref="H45:I45">
    <cfRule type="cellIs" dxfId="115" priority="7" stopIfTrue="1" operator="equal">
      <formula>0.000001</formula>
    </cfRule>
  </conditionalFormatting>
  <conditionalFormatting sqref="J29:N29">
    <cfRule type="cellIs" dxfId="114" priority="3" stopIfTrue="1" operator="equal">
      <formula>0.000001</formula>
    </cfRule>
  </conditionalFormatting>
  <conditionalFormatting sqref="J30:N30">
    <cfRule type="cellIs" dxfId="113" priority="2" stopIfTrue="1" operator="equal">
      <formula>0.000001</formula>
    </cfRule>
  </conditionalFormatting>
  <conditionalFormatting sqref="J33:N33">
    <cfRule type="cellIs" dxfId="112" priority="1" stopIfTrue="1" operator="equal">
      <formula>0.000001</formula>
    </cfRule>
  </conditionalFormatting>
  <pageMargins left="0.75" right="0.75" top="0.65" bottom="0.65" header="0.5" footer="0.25"/>
  <pageSetup scale="60" orientation="landscape" r:id="rId1"/>
  <headerFooter alignWithMargins="0">
    <oddFooter>&amp;C&amp;8&amp;G&amp;R&amp;8For training purposes only!&amp;L&amp;8COPYRIGHT 2016 © by Training The Street, Inc</oddFooter>
  </headerFooter>
  <drawing r:id="rId2"/>
  <legacyDrawing r:id="rId3"/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83"/>
  <sheetViews>
    <sheetView zoomScaleNormal="100" workbookViewId="0">
      <pane ySplit="21" topLeftCell="A34" activePane="bottomLeft" state="frozen"/>
      <selection activeCell="A76" sqref="A76"/>
      <selection pane="bottomLeft" activeCell="A22" sqref="A22"/>
    </sheetView>
  </sheetViews>
  <sheetFormatPr defaultColWidth="10" defaultRowHeight="13.15" customHeight="1" outlineLevelRow="1" x14ac:dyDescent="0.2"/>
  <cols>
    <col min="1" max="1" width="3" style="214" customWidth="1"/>
    <col min="2" max="3" width="1.7109375" style="105" customWidth="1"/>
    <col min="4" max="14" width="10" style="105" customWidth="1"/>
    <col min="15" max="15" width="1.7109375" style="105" customWidth="1"/>
    <col min="16" max="16" width="10" style="105"/>
    <col min="17" max="17" width="10.85546875" style="105" bestFit="1" customWidth="1"/>
    <col min="18" max="16384" width="10" style="105"/>
  </cols>
  <sheetData>
    <row r="1" spans="1:23" ht="12.75" customHeight="1" outlineLevel="1" x14ac:dyDescent="0.2">
      <c r="A1" s="387"/>
      <c r="B1" s="404" t="str">
        <f ca="1">MID(CELL("filename",B1),FIND("]",CELL("filename",B1))+1,31)&amp;": Forecast down to EBITDA"</f>
        <v>Steps 3-6: Forecast down to EBITDA</v>
      </c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6"/>
      <c r="Q1" s="395"/>
      <c r="R1" s="404" t="s">
        <v>150</v>
      </c>
      <c r="S1" s="405"/>
      <c r="T1" s="405"/>
      <c r="U1" s="405"/>
      <c r="V1" s="405"/>
      <c r="W1" s="406"/>
    </row>
    <row r="2" spans="1:23" ht="12.75" customHeight="1" outlineLevel="1" x14ac:dyDescent="0.25">
      <c r="A2" s="387"/>
      <c r="B2" s="407"/>
      <c r="C2" s="401"/>
      <c r="D2" s="401"/>
      <c r="E2" s="401"/>
      <c r="F2" s="401"/>
      <c r="G2" s="401"/>
      <c r="H2" s="401"/>
      <c r="I2" s="401"/>
      <c r="J2" s="401"/>
      <c r="K2" s="400"/>
      <c r="L2" s="401"/>
      <c r="M2" s="401"/>
      <c r="N2" s="401"/>
      <c r="O2" s="401"/>
      <c r="P2" s="408"/>
      <c r="Q2" s="395"/>
      <c r="R2" s="565" t="s">
        <v>163</v>
      </c>
      <c r="S2" s="477" t="str">
        <f>ADDRESS(ROW(K51),COLUMN(K51),4)&amp; " = "</f>
        <v xml:space="preserve">K51 = </v>
      </c>
      <c r="T2" s="478" t="str">
        <f>ADDRESS(ROW(J51),COLUMN(J51),4)</f>
        <v>J51</v>
      </c>
      <c r="U2" s="107"/>
      <c r="V2" s="479" t="s">
        <v>160</v>
      </c>
      <c r="W2" s="476"/>
    </row>
    <row r="3" spans="1:23" ht="12.75" customHeight="1" outlineLevel="1" x14ac:dyDescent="0.2">
      <c r="A3" s="387"/>
      <c r="B3" s="409"/>
      <c r="C3" s="402" t="str">
        <f>"Step "&amp;A29&amp;": Forecast net sales for the projected years"</f>
        <v>Step 3: Forecast net sales for the projected years</v>
      </c>
      <c r="D3" s="403"/>
      <c r="E3" s="403"/>
      <c r="F3" s="403"/>
      <c r="G3" s="401"/>
      <c r="H3" s="401"/>
      <c r="I3" s="401"/>
      <c r="J3" s="427" t="str">
        <f>"Step "&amp;RIGHT(A52,1)&amp;": Add ''steps'' to your assumptions"</f>
        <v>Step 5: Add ''steps'' to your assumptions</v>
      </c>
      <c r="K3" s="401"/>
      <c r="L3" s="401"/>
      <c r="M3" s="403"/>
      <c r="N3" s="403"/>
      <c r="O3" s="403"/>
      <c r="P3" s="430"/>
      <c r="Q3" s="395"/>
      <c r="R3" s="566"/>
      <c r="S3" s="477" t="str">
        <f>ADDRESS(ROW(J29),COLUMN(J29),4)&amp; " = "</f>
        <v xml:space="preserve">J29 = </v>
      </c>
      <c r="T3" s="478" t="str">
        <f>ADDRESS(ROW(I29),COLUMN(I29),4)&amp;" * (1 + "&amp;ADDRESS(ROW(J51),COLUMN(J51),4)&amp;")"</f>
        <v>I29 * (1 + J51)</v>
      </c>
      <c r="U3" s="107"/>
      <c r="V3" s="107" t="str">
        <f>J27&amp;" Sales"</f>
        <v>2016 Sales</v>
      </c>
      <c r="W3" s="476"/>
    </row>
    <row r="4" spans="1:23" ht="12.75" customHeight="1" outlineLevel="1" x14ac:dyDescent="0.2">
      <c r="A4" s="387"/>
      <c r="B4" s="410"/>
      <c r="C4" s="401"/>
      <c r="D4" s="428" t="s">
        <v>98</v>
      </c>
      <c r="E4" s="401"/>
      <c r="F4" s="401"/>
      <c r="G4" s="401"/>
      <c r="H4" s="401"/>
      <c r="I4" s="401"/>
      <c r="J4" s="428" t="s">
        <v>105</v>
      </c>
      <c r="K4" s="428"/>
      <c r="L4" s="401"/>
      <c r="M4" s="401"/>
      <c r="N4" s="401"/>
      <c r="O4" s="401"/>
      <c r="P4" s="408"/>
      <c r="Q4" s="395"/>
      <c r="R4" s="562" t="s">
        <v>164</v>
      </c>
      <c r="S4" s="480" t="str">
        <f>ADDRESS(ROW(K52),COLUMN(K52),4)&amp; " = "</f>
        <v xml:space="preserve">K52 = </v>
      </c>
      <c r="T4" s="481" t="str">
        <f>ADDRESS(ROW(J52),COLUMN(J52),4)</f>
        <v>J52</v>
      </c>
      <c r="U4" s="482"/>
      <c r="V4" s="482" t="s">
        <v>161</v>
      </c>
      <c r="W4" s="483"/>
    </row>
    <row r="5" spans="1:23" ht="12.75" customHeight="1" outlineLevel="1" x14ac:dyDescent="0.25">
      <c r="A5" s="387"/>
      <c r="B5" s="407"/>
      <c r="C5" s="401"/>
      <c r="D5" s="429" t="s">
        <v>96</v>
      </c>
      <c r="E5" s="401"/>
      <c r="F5" s="401"/>
      <c r="G5" s="401"/>
      <c r="H5" s="401"/>
      <c r="I5" s="401"/>
      <c r="J5" s="428" t="s">
        <v>106</v>
      </c>
      <c r="K5" s="428"/>
      <c r="L5" s="401"/>
      <c r="M5" s="401"/>
      <c r="N5" s="401"/>
      <c r="O5" s="401"/>
      <c r="P5" s="408"/>
      <c r="Q5" s="395"/>
      <c r="R5" s="567"/>
      <c r="S5" s="484" t="str">
        <f>ADDRESS(ROW(J30),COLUMN(J30),4)&amp; " = "</f>
        <v xml:space="preserve">J30 = </v>
      </c>
      <c r="T5" s="485" t="str">
        <f>ADDRESS(ROW(J29),COLUMN(J29),4)&amp;" * "&amp;ADDRESS(ROW(J52),COLUMN(J52),4)</f>
        <v>J29 * J52</v>
      </c>
      <c r="U5" s="486"/>
      <c r="V5" s="486" t="str">
        <f>J27&amp;" COGS"</f>
        <v>2016 COGS</v>
      </c>
      <c r="W5" s="483"/>
    </row>
    <row r="6" spans="1:23" ht="12.75" customHeight="1" outlineLevel="1" x14ac:dyDescent="0.25">
      <c r="A6" s="387"/>
      <c r="B6" s="407"/>
      <c r="C6" s="401"/>
      <c r="D6" s="398" t="s">
        <v>91</v>
      </c>
      <c r="E6" s="401"/>
      <c r="F6" s="401"/>
      <c r="G6" s="401"/>
      <c r="H6" s="401"/>
      <c r="I6" s="401"/>
      <c r="J6" s="356" t="s">
        <v>107</v>
      </c>
      <c r="K6" s="356"/>
      <c r="L6" s="401"/>
      <c r="M6" s="401"/>
      <c r="N6" s="401"/>
      <c r="O6" s="401"/>
      <c r="P6" s="408"/>
      <c r="Q6" s="395"/>
      <c r="R6" s="567"/>
      <c r="S6" s="484" t="str">
        <f>ADDRESS(ROW(K53),COLUMN(K53),4)&amp; " = "</f>
        <v xml:space="preserve">K53 = </v>
      </c>
      <c r="T6" s="485" t="str">
        <f>ADDRESS(ROW(J53),COLUMN(J53),4)</f>
        <v>J53</v>
      </c>
      <c r="U6" s="486"/>
      <c r="V6" s="487" t="s">
        <v>162</v>
      </c>
      <c r="W6" s="483"/>
    </row>
    <row r="7" spans="1:23" ht="12.75" customHeight="1" outlineLevel="1" x14ac:dyDescent="0.25">
      <c r="A7" s="387"/>
      <c r="B7" s="407"/>
      <c r="C7" s="401"/>
      <c r="D7" s="428" t="s">
        <v>95</v>
      </c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8"/>
      <c r="Q7" s="395"/>
      <c r="R7" s="567"/>
      <c r="S7" s="484" t="str">
        <f>ADDRESS(ROW(J33),COLUMN(J33),4)&amp; " = "</f>
        <v xml:space="preserve">J33 = </v>
      </c>
      <c r="T7" s="485" t="str">
        <f>ADDRESS(ROW(J29),COLUMN(J29),4)&amp;" * "&amp;ADDRESS(ROW(J53),COLUMN(J53),4)</f>
        <v>J29 * J53</v>
      </c>
      <c r="U7" s="486"/>
      <c r="V7" s="486" t="str">
        <f>J27&amp;" SG&amp;A"</f>
        <v>2016 SG&amp;A</v>
      </c>
      <c r="W7" s="483"/>
    </row>
    <row r="8" spans="1:23" ht="12.75" customHeight="1" outlineLevel="1" x14ac:dyDescent="0.25">
      <c r="A8" s="387"/>
      <c r="B8" s="407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8"/>
      <c r="Q8" s="395"/>
      <c r="R8" s="545" t="s">
        <v>165</v>
      </c>
      <c r="S8" s="540" t="str">
        <f>ADDRESS(ROW(K52),COLUMN(K52),4)&amp; " = "</f>
        <v xml:space="preserve">K52 = </v>
      </c>
      <c r="T8" s="541" t="str">
        <f>ADDRESS(ROW(J52),COLUMN(J52),4)&amp;" + $"&amp;ADDRESS(ROW(Q52),COLUMN(Q52),4)</f>
        <v>J52 + $Q52</v>
      </c>
      <c r="U8" s="542"/>
      <c r="V8" s="542" t="s">
        <v>167</v>
      </c>
      <c r="W8" s="476"/>
    </row>
    <row r="9" spans="1:23" ht="12.75" customHeight="1" outlineLevel="1" x14ac:dyDescent="0.25">
      <c r="A9" s="387"/>
      <c r="B9" s="407"/>
      <c r="C9" s="427" t="str">
        <f>"Step "&amp;A30&amp;": Project future operating expenses"</f>
        <v>Step 4: Project future operating expenses</v>
      </c>
      <c r="D9" s="401"/>
      <c r="E9" s="401"/>
      <c r="F9" s="401"/>
      <c r="G9" s="401"/>
      <c r="H9" s="401"/>
      <c r="I9" s="401"/>
      <c r="J9" s="427" t="str">
        <f>"Step "&amp;A34&amp;": Calculate totals"</f>
        <v>Step 6: Calculate totals</v>
      </c>
      <c r="K9" s="401"/>
      <c r="L9" s="401"/>
      <c r="M9" s="401"/>
      <c r="N9" s="401"/>
      <c r="O9" s="401"/>
      <c r="P9" s="408"/>
      <c r="Q9" s="395"/>
      <c r="R9" s="562" t="s">
        <v>166</v>
      </c>
      <c r="S9" s="484" t="str">
        <f>ADDRESS(ROW(J31),COLUMN(J31),4)&amp; " = "</f>
        <v xml:space="preserve">J31 = </v>
      </c>
      <c r="T9" s="485" t="str">
        <f>ADDRESS(ROW(J29),COLUMN(J29),4)&amp;" - "&amp;ADDRESS(ROW(J30),COLUMN(J30),4)</f>
        <v>J29 - J30</v>
      </c>
      <c r="U9" s="486"/>
      <c r="V9" s="487" t="s">
        <v>152</v>
      </c>
      <c r="W9" s="483"/>
    </row>
    <row r="10" spans="1:23" ht="12.75" customHeight="1" outlineLevel="1" x14ac:dyDescent="0.25">
      <c r="A10" s="387"/>
      <c r="B10" s="407"/>
      <c r="C10" s="401"/>
      <c r="D10" s="428" t="s">
        <v>97</v>
      </c>
      <c r="E10" s="401"/>
      <c r="F10" s="401"/>
      <c r="G10" s="401"/>
      <c r="H10" s="401"/>
      <c r="I10" s="401"/>
      <c r="J10" s="428" t="s">
        <v>108</v>
      </c>
      <c r="K10" s="428"/>
      <c r="L10" s="401"/>
      <c r="M10" s="401"/>
      <c r="N10" s="401"/>
      <c r="O10" s="401"/>
      <c r="P10" s="408"/>
      <c r="Q10" s="395"/>
      <c r="R10" s="568"/>
      <c r="S10" s="484" t="str">
        <f>ADDRESS(ROW(J34),COLUMN(J34),4)&amp; " = "</f>
        <v xml:space="preserve">J34 = </v>
      </c>
      <c r="T10" s="485" t="str">
        <f>ADDRESS(ROW(J31),COLUMN(J31),4)&amp;" - "&amp;ADDRESS(ROW(J33),COLUMN(J33),4)</f>
        <v>J31 - J33</v>
      </c>
      <c r="U10" s="486"/>
      <c r="V10" s="487" t="s">
        <v>35</v>
      </c>
      <c r="W10" s="483"/>
    </row>
    <row r="11" spans="1:23" ht="12.75" customHeight="1" outlineLevel="1" x14ac:dyDescent="0.25">
      <c r="A11" s="387"/>
      <c r="B11" s="407"/>
      <c r="C11" s="401"/>
      <c r="D11" s="429" t="s">
        <v>96</v>
      </c>
      <c r="E11" s="401"/>
      <c r="F11" s="401"/>
      <c r="G11" s="401"/>
      <c r="H11" s="401"/>
      <c r="I11" s="401"/>
      <c r="J11" s="356" t="s">
        <v>109</v>
      </c>
      <c r="K11" s="356"/>
      <c r="L11" s="401"/>
      <c r="M11" s="401"/>
      <c r="N11" s="401"/>
      <c r="O11" s="401"/>
      <c r="P11" s="408"/>
      <c r="Q11" s="395"/>
      <c r="R11" s="569"/>
      <c r="S11" s="489" t="s">
        <v>188</v>
      </c>
      <c r="T11" s="544" t="s">
        <v>189</v>
      </c>
      <c r="U11" s="491"/>
      <c r="V11" s="491" t="s">
        <v>157</v>
      </c>
      <c r="W11" s="543"/>
    </row>
    <row r="12" spans="1:23" ht="12.75" customHeight="1" outlineLevel="1" x14ac:dyDescent="0.25">
      <c r="A12" s="387"/>
      <c r="B12" s="407"/>
      <c r="C12" s="401"/>
      <c r="D12" s="398" t="s">
        <v>91</v>
      </c>
      <c r="E12" s="401"/>
      <c r="F12" s="401"/>
      <c r="G12" s="401"/>
      <c r="H12" s="401"/>
      <c r="I12" s="401"/>
      <c r="J12" s="429" t="s">
        <v>92</v>
      </c>
      <c r="K12" s="429"/>
      <c r="L12" s="401"/>
      <c r="M12" s="401"/>
      <c r="N12" s="401"/>
      <c r="O12" s="401"/>
      <c r="P12" s="408"/>
      <c r="Q12" s="395"/>
    </row>
    <row r="13" spans="1:23" ht="12.75" customHeight="1" outlineLevel="1" x14ac:dyDescent="0.25">
      <c r="A13" s="387"/>
      <c r="B13" s="411"/>
      <c r="C13" s="412"/>
      <c r="D13" s="412"/>
      <c r="E13" s="412"/>
      <c r="F13" s="412"/>
      <c r="G13" s="412"/>
      <c r="H13" s="412"/>
      <c r="I13" s="412"/>
      <c r="J13" s="412"/>
      <c r="K13" s="412"/>
      <c r="L13" s="412"/>
      <c r="M13" s="412"/>
      <c r="N13" s="412"/>
      <c r="O13" s="412"/>
      <c r="P13" s="413"/>
      <c r="Q13" s="395"/>
      <c r="R13" s="387"/>
    </row>
    <row r="14" spans="1:23" ht="12.75" customHeight="1" x14ac:dyDescent="0.25">
      <c r="A14" s="387"/>
      <c r="B14" s="396"/>
      <c r="F14" s="387"/>
      <c r="G14" s="387"/>
      <c r="H14" s="387"/>
      <c r="I14" s="387"/>
      <c r="J14" s="387"/>
      <c r="K14" s="387"/>
      <c r="L14" s="387"/>
      <c r="M14" s="387"/>
      <c r="N14" s="387"/>
      <c r="O14" s="387"/>
      <c r="P14" s="387"/>
      <c r="Q14" s="395"/>
      <c r="R14" s="387"/>
    </row>
    <row r="15" spans="1:23" ht="12.75" hidden="1" customHeight="1" x14ac:dyDescent="0.25">
      <c r="A15" s="387"/>
      <c r="B15" s="396"/>
      <c r="F15" s="387"/>
      <c r="G15" s="387"/>
      <c r="H15" s="387"/>
      <c r="I15" s="387"/>
      <c r="J15" s="387"/>
      <c r="K15" s="387"/>
      <c r="L15" s="387"/>
      <c r="M15" s="387"/>
      <c r="N15" s="387"/>
      <c r="O15" s="387"/>
      <c r="P15" s="387"/>
      <c r="Q15" s="395"/>
      <c r="R15" s="387"/>
    </row>
    <row r="16" spans="1:23" ht="12.75" hidden="1" customHeight="1" x14ac:dyDescent="0.25">
      <c r="A16" s="387"/>
      <c r="B16" s="396"/>
      <c r="F16" s="387"/>
      <c r="G16" s="387"/>
      <c r="H16" s="387"/>
      <c r="I16" s="387"/>
      <c r="J16" s="387"/>
      <c r="K16" s="387"/>
      <c r="L16" s="387"/>
      <c r="M16" s="387"/>
      <c r="N16" s="387"/>
      <c r="O16" s="387"/>
      <c r="P16" s="387"/>
      <c r="Q16" s="395"/>
      <c r="R16" s="387"/>
    </row>
    <row r="17" spans="1:24" ht="12.75" hidden="1" customHeight="1" x14ac:dyDescent="0.25">
      <c r="A17" s="387"/>
      <c r="B17" s="396"/>
      <c r="F17" s="387"/>
      <c r="G17" s="387"/>
      <c r="H17" s="387"/>
      <c r="I17" s="387"/>
      <c r="J17" s="387"/>
      <c r="K17" s="387"/>
      <c r="L17" s="387"/>
      <c r="M17" s="387"/>
      <c r="N17" s="387"/>
      <c r="O17" s="387"/>
      <c r="P17" s="387"/>
      <c r="Q17" s="395"/>
      <c r="R17" s="387"/>
    </row>
    <row r="18" spans="1:24" ht="12.75" hidden="1" customHeight="1" x14ac:dyDescent="0.25">
      <c r="A18" s="387"/>
      <c r="B18" s="396"/>
      <c r="F18" s="387"/>
      <c r="G18" s="387"/>
      <c r="H18" s="387"/>
      <c r="I18" s="387"/>
      <c r="J18" s="387"/>
      <c r="K18" s="387"/>
      <c r="L18" s="387"/>
      <c r="M18" s="387"/>
      <c r="N18" s="387"/>
      <c r="O18" s="387"/>
      <c r="P18" s="387"/>
      <c r="Q18" s="395"/>
      <c r="R18" s="387"/>
    </row>
    <row r="19" spans="1:24" ht="12.75" hidden="1" customHeight="1" x14ac:dyDescent="0.25">
      <c r="A19" s="387"/>
      <c r="B19" s="396"/>
      <c r="F19" s="387"/>
      <c r="G19" s="387"/>
      <c r="H19" s="387"/>
      <c r="I19" s="387"/>
      <c r="J19" s="387"/>
      <c r="K19" s="387"/>
      <c r="L19" s="387"/>
      <c r="M19" s="387"/>
      <c r="N19" s="387"/>
      <c r="O19" s="387"/>
      <c r="P19" s="387"/>
      <c r="Q19" s="395"/>
      <c r="R19" s="387"/>
    </row>
    <row r="20" spans="1:24" ht="12.75" hidden="1" customHeight="1" x14ac:dyDescent="0.25">
      <c r="A20" s="387"/>
      <c r="B20" s="396"/>
      <c r="F20" s="387"/>
      <c r="G20" s="387"/>
      <c r="H20" s="387"/>
      <c r="I20" s="387"/>
      <c r="J20" s="387"/>
      <c r="K20" s="387"/>
      <c r="L20" s="387"/>
      <c r="M20" s="387"/>
      <c r="N20" s="387"/>
      <c r="O20" s="387"/>
      <c r="P20" s="387"/>
      <c r="Q20" s="395"/>
      <c r="R20" s="387"/>
    </row>
    <row r="21" spans="1:24" s="113" customFormat="1" ht="12.75" hidden="1" customHeight="1" x14ac:dyDescent="0.2">
      <c r="A21" s="112"/>
    </row>
    <row r="22" spans="1:24" s="116" customFormat="1" ht="18.75" thickBot="1" x14ac:dyDescent="0.3">
      <c r="A22" s="112"/>
      <c r="B22" s="239" t="str">
        <f>"Discounted Cash Flow Analysis for "&amp;Company</f>
        <v>Discounted Cash Flow Analysis for Sample Company</v>
      </c>
      <c r="C22" s="114"/>
      <c r="D22" s="115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</row>
    <row r="23" spans="1:24" s="116" customFormat="1" ht="13.15" customHeight="1" x14ac:dyDescent="0.2">
      <c r="A23" s="112"/>
      <c r="B23" s="243" t="str">
        <f>Subheader</f>
        <v>Dollars in millions, except per share</v>
      </c>
      <c r="C23" s="117"/>
      <c r="D23" s="118"/>
      <c r="E23" s="119"/>
      <c r="F23" s="119"/>
      <c r="G23" s="119"/>
      <c r="H23" s="119"/>
      <c r="I23" s="119"/>
      <c r="J23" s="119"/>
      <c r="K23" s="119"/>
      <c r="L23" s="119"/>
      <c r="M23" s="120"/>
      <c r="N23" s="119"/>
      <c r="O23" s="119"/>
      <c r="P23" s="119"/>
    </row>
    <row r="24" spans="1:24" s="116" customFormat="1" ht="12.75" customHeight="1" x14ac:dyDescent="0.2">
      <c r="A24" s="112"/>
      <c r="B24" s="121"/>
      <c r="C24" s="122"/>
      <c r="D24" s="123"/>
      <c r="E24" s="114"/>
      <c r="F24" s="114"/>
      <c r="G24" s="114"/>
      <c r="H24" s="114"/>
      <c r="I24" s="114"/>
      <c r="J24" s="114"/>
      <c r="K24" s="114"/>
      <c r="L24" s="114"/>
      <c r="N24" s="114"/>
    </row>
    <row r="25" spans="1:24" s="116" customFormat="1" ht="12.75" customHeight="1" x14ac:dyDescent="0.2">
      <c r="A25" s="112"/>
      <c r="B25" s="121"/>
      <c r="C25" s="122"/>
      <c r="D25" s="123"/>
      <c r="E25" s="114"/>
      <c r="F25" s="114"/>
      <c r="G25" s="242"/>
      <c r="H25" s="242"/>
      <c r="I25" s="242"/>
      <c r="J25" s="242"/>
      <c r="K25" s="242"/>
      <c r="L25" s="242"/>
      <c r="M25" s="242"/>
      <c r="N25" s="242"/>
      <c r="O25" s="242"/>
      <c r="P25" s="251" t="str">
        <f>I27&amp;" - "&amp;N27</f>
        <v>2015 - 2020</v>
      </c>
    </row>
    <row r="26" spans="1:24" s="113" customFormat="1" ht="12.75" customHeight="1" x14ac:dyDescent="0.2">
      <c r="A26" s="112"/>
      <c r="G26" s="252" t="s">
        <v>28</v>
      </c>
      <c r="H26" s="253"/>
      <c r="I26" s="254"/>
      <c r="J26" s="252" t="s">
        <v>29</v>
      </c>
      <c r="K26" s="255"/>
      <c r="L26" s="255"/>
      <c r="M26" s="255"/>
      <c r="N26" s="256"/>
      <c r="O26" s="238"/>
      <c r="P26" s="257" t="s">
        <v>30</v>
      </c>
      <c r="T26" s="116"/>
      <c r="U26" s="116"/>
      <c r="V26" s="116"/>
      <c r="W26" s="116"/>
      <c r="X26" s="116"/>
    </row>
    <row r="27" spans="1:24" s="113" customFormat="1" ht="12.75" customHeight="1" x14ac:dyDescent="0.2">
      <c r="A27" s="112"/>
      <c r="G27" s="379">
        <f>H27-1</f>
        <v>2013</v>
      </c>
      <c r="H27" s="379">
        <f>I27-1</f>
        <v>2014</v>
      </c>
      <c r="I27" s="380">
        <f>YEAR(FYE)</f>
        <v>2015</v>
      </c>
      <c r="J27" s="379">
        <f t="shared" ref="J27:N27" si="0">I27+1</f>
        <v>2016</v>
      </c>
      <c r="K27" s="379">
        <f t="shared" si="0"/>
        <v>2017</v>
      </c>
      <c r="L27" s="379">
        <f t="shared" si="0"/>
        <v>2018</v>
      </c>
      <c r="M27" s="379">
        <f t="shared" si="0"/>
        <v>2019</v>
      </c>
      <c r="N27" s="379">
        <f t="shared" si="0"/>
        <v>2020</v>
      </c>
      <c r="O27" s="238"/>
      <c r="P27" s="238"/>
      <c r="T27" s="116"/>
      <c r="U27" s="116"/>
      <c r="V27" s="116"/>
      <c r="W27" s="116"/>
      <c r="X27" s="116"/>
    </row>
    <row r="28" spans="1:24" s="113" customFormat="1" ht="12.75" customHeight="1" x14ac:dyDescent="0.2">
      <c r="A28" s="112"/>
      <c r="I28" s="116"/>
      <c r="P28" s="116"/>
      <c r="T28" s="116"/>
      <c r="U28" s="116"/>
      <c r="V28" s="116"/>
      <c r="W28" s="116"/>
      <c r="X28" s="116"/>
    </row>
    <row r="29" spans="1:24" s="113" customFormat="1" ht="13.15" customHeight="1" x14ac:dyDescent="0.2">
      <c r="A29" s="397">
        <v>3</v>
      </c>
      <c r="B29" s="131" t="s">
        <v>31</v>
      </c>
      <c r="C29" s="131"/>
      <c r="D29" s="131"/>
      <c r="G29" s="132">
        <v>4666</v>
      </c>
      <c r="H29" s="132">
        <v>4791.8999999999996</v>
      </c>
      <c r="I29" s="132">
        <v>4988.1000000000004</v>
      </c>
      <c r="J29" s="133">
        <v>9.9999999999999995E-7</v>
      </c>
      <c r="K29" s="133">
        <v>9.9999999999999995E-7</v>
      </c>
      <c r="L29" s="133">
        <v>9.9999999999999995E-7</v>
      </c>
      <c r="M29" s="133">
        <v>9.9999999999999995E-7</v>
      </c>
      <c r="N29" s="133">
        <v>9.9999999999999995E-7</v>
      </c>
      <c r="O29" s="116"/>
      <c r="P29" s="134">
        <v>9.9999999999999995E-7</v>
      </c>
      <c r="Q29" s="116"/>
      <c r="T29" s="116"/>
      <c r="U29" s="116"/>
      <c r="V29" s="116"/>
      <c r="W29" s="116"/>
      <c r="X29" s="116"/>
    </row>
    <row r="30" spans="1:24" s="113" customFormat="1" ht="13.15" customHeight="1" x14ac:dyDescent="0.2">
      <c r="A30" s="397">
        <v>4</v>
      </c>
      <c r="B30" s="131" t="s">
        <v>32</v>
      </c>
      <c r="C30" s="131"/>
      <c r="D30" s="131"/>
      <c r="G30" s="135">
        <v>3498.8</v>
      </c>
      <c r="H30" s="135">
        <v>3767.7</v>
      </c>
      <c r="I30" s="135">
        <v>3893.1</v>
      </c>
      <c r="J30" s="136">
        <v>9.9999999999999995E-7</v>
      </c>
      <c r="K30" s="136">
        <v>9.9999999999999995E-7</v>
      </c>
      <c r="L30" s="136">
        <v>9.9999999999999995E-7</v>
      </c>
      <c r="M30" s="136">
        <v>9.9999999999999995E-7</v>
      </c>
      <c r="N30" s="136">
        <v>9.9999999999999995E-7</v>
      </c>
      <c r="O30" s="116"/>
      <c r="P30" s="134"/>
      <c r="Q30" s="116"/>
      <c r="T30" s="116"/>
      <c r="U30" s="116"/>
      <c r="V30" s="116"/>
      <c r="W30" s="116"/>
      <c r="X30" s="116"/>
    </row>
    <row r="31" spans="1:24" s="113" customFormat="1" ht="13.15" customHeight="1" x14ac:dyDescent="0.2">
      <c r="A31" s="397">
        <v>6</v>
      </c>
      <c r="B31" s="131" t="s">
        <v>33</v>
      </c>
      <c r="D31" s="131"/>
      <c r="G31" s="137">
        <f>G29-G30</f>
        <v>1167.1999999999998</v>
      </c>
      <c r="H31" s="439">
        <f t="shared" ref="H31:I31" si="1">H29-H30</f>
        <v>1024.1999999999998</v>
      </c>
      <c r="I31" s="440">
        <f t="shared" si="1"/>
        <v>1095.0000000000005</v>
      </c>
      <c r="J31" s="373">
        <v>9.9999999999999995E-7</v>
      </c>
      <c r="K31" s="373">
        <v>9.9999999999999995E-7</v>
      </c>
      <c r="L31" s="373">
        <v>9.9999999999999995E-7</v>
      </c>
      <c r="M31" s="373">
        <v>9.9999999999999995E-7</v>
      </c>
      <c r="N31" s="374">
        <v>9.9999999999999995E-7</v>
      </c>
      <c r="O31" s="442"/>
      <c r="P31" s="134">
        <v>9.9999999999999995E-7</v>
      </c>
      <c r="Q31" s="116"/>
      <c r="T31" s="116"/>
      <c r="U31" s="116"/>
      <c r="V31" s="116"/>
      <c r="W31" s="116"/>
      <c r="X31" s="116"/>
    </row>
    <row r="32" spans="1:24" s="113" customFormat="1" ht="6.4" customHeight="1" x14ac:dyDescent="0.2">
      <c r="A32" s="112"/>
      <c r="G32" s="138"/>
      <c r="H32" s="138"/>
      <c r="I32" s="138"/>
      <c r="J32" s="449"/>
      <c r="K32" s="449"/>
      <c r="L32" s="449"/>
      <c r="M32" s="449"/>
      <c r="N32" s="449"/>
      <c r="O32" s="116"/>
      <c r="P32" s="139"/>
      <c r="Q32" s="116"/>
      <c r="S32" s="116"/>
      <c r="T32" s="116"/>
      <c r="U32" s="116"/>
      <c r="V32" s="116"/>
      <c r="W32" s="116"/>
      <c r="X32" s="116"/>
    </row>
    <row r="33" spans="1:24" s="113" customFormat="1" ht="13.15" customHeight="1" x14ac:dyDescent="0.2">
      <c r="A33" s="397">
        <v>4</v>
      </c>
      <c r="B33" s="131" t="s">
        <v>34</v>
      </c>
      <c r="C33" s="131"/>
      <c r="D33" s="131"/>
      <c r="G33" s="135">
        <v>316</v>
      </c>
      <c r="H33" s="135">
        <v>306.10000000000002</v>
      </c>
      <c r="I33" s="135">
        <v>280.3</v>
      </c>
      <c r="J33" s="136">
        <v>9.9999999999999995E-7</v>
      </c>
      <c r="K33" s="136">
        <v>9.9999999999999995E-7</v>
      </c>
      <c r="L33" s="136">
        <v>9.9999999999999995E-7</v>
      </c>
      <c r="M33" s="136">
        <v>9.9999999999999995E-7</v>
      </c>
      <c r="N33" s="136">
        <v>9.9999999999999995E-7</v>
      </c>
      <c r="O33" s="116"/>
      <c r="P33" s="134"/>
      <c r="Q33" s="116"/>
      <c r="R33"/>
      <c r="S33" s="116"/>
      <c r="T33" s="116"/>
      <c r="U33" s="116"/>
      <c r="V33" s="116"/>
      <c r="W33" s="116"/>
      <c r="X33" s="116"/>
    </row>
    <row r="34" spans="1:24" s="113" customFormat="1" ht="13.15" customHeight="1" x14ac:dyDescent="0.2">
      <c r="A34" s="397">
        <v>6</v>
      </c>
      <c r="B34" s="131" t="s">
        <v>35</v>
      </c>
      <c r="C34" s="131"/>
      <c r="D34" s="131"/>
      <c r="G34" s="137">
        <f>G31-G33</f>
        <v>851.19999999999982</v>
      </c>
      <c r="H34" s="439">
        <f t="shared" ref="H34:I34" si="2">H31-H33</f>
        <v>718.0999999999998</v>
      </c>
      <c r="I34" s="440">
        <f t="shared" si="2"/>
        <v>814.7000000000005</v>
      </c>
      <c r="J34" s="373">
        <v>9.9999999999999995E-7</v>
      </c>
      <c r="K34" s="373">
        <v>9.9999999999999995E-7</v>
      </c>
      <c r="L34" s="373">
        <v>9.9999999999999995E-7</v>
      </c>
      <c r="M34" s="373">
        <v>9.9999999999999995E-7</v>
      </c>
      <c r="N34" s="374">
        <v>9.9999999999999995E-7</v>
      </c>
      <c r="O34" s="442"/>
      <c r="P34" s="134">
        <v>9.9999999999999995E-7</v>
      </c>
      <c r="Q34" s="116"/>
      <c r="R34"/>
      <c r="S34" s="116"/>
      <c r="T34" s="116"/>
      <c r="U34" s="116"/>
      <c r="V34" s="116"/>
      <c r="W34" s="116"/>
      <c r="X34" s="116"/>
    </row>
    <row r="35" spans="1:24" s="113" customFormat="1" ht="13.15" customHeight="1" x14ac:dyDescent="0.2">
      <c r="A35" s="112"/>
      <c r="B35" s="131" t="s">
        <v>36</v>
      </c>
      <c r="C35" s="131"/>
      <c r="D35" s="131"/>
      <c r="G35" s="135">
        <v>-85</v>
      </c>
      <c r="H35" s="135">
        <v>-90</v>
      </c>
      <c r="I35" s="135">
        <v>-115.1</v>
      </c>
      <c r="J35" s="136"/>
      <c r="K35" s="136"/>
      <c r="L35" s="136"/>
      <c r="M35" s="136"/>
      <c r="N35" s="136"/>
      <c r="O35" s="116"/>
      <c r="P35" s="134"/>
      <c r="Q35" s="116"/>
      <c r="R35"/>
      <c r="S35" s="116"/>
      <c r="T35" s="116"/>
      <c r="U35" s="116"/>
      <c r="V35" s="116"/>
      <c r="W35" s="116"/>
      <c r="X35" s="116"/>
    </row>
    <row r="36" spans="1:24" s="113" customFormat="1" ht="13.15" customHeight="1" x14ac:dyDescent="0.2">
      <c r="A36" s="112"/>
      <c r="B36" s="131" t="s">
        <v>37</v>
      </c>
      <c r="C36" s="131"/>
      <c r="D36" s="131"/>
      <c r="G36" s="135">
        <v>-0.5</v>
      </c>
      <c r="H36" s="135">
        <v>-1.9</v>
      </c>
      <c r="I36" s="135">
        <v>-3.4</v>
      </c>
      <c r="J36" s="136"/>
      <c r="K36" s="136"/>
      <c r="L36" s="136"/>
      <c r="M36" s="136"/>
      <c r="N36" s="136"/>
      <c r="O36" s="116"/>
      <c r="P36" s="134"/>
      <c r="Q36" s="116"/>
      <c r="R36"/>
      <c r="S36" s="116"/>
      <c r="T36" s="116"/>
      <c r="U36" s="116"/>
      <c r="V36" s="116"/>
      <c r="W36" s="116"/>
      <c r="X36" s="116"/>
    </row>
    <row r="37" spans="1:24" s="113" customFormat="1" ht="13.15" customHeight="1" x14ac:dyDescent="0.2">
      <c r="A37" s="112"/>
      <c r="B37" s="131" t="s">
        <v>38</v>
      </c>
      <c r="C37" s="131"/>
      <c r="D37" s="131"/>
      <c r="F37" s="138"/>
      <c r="G37" s="137">
        <f>SUM(G34:G36)</f>
        <v>765.69999999999982</v>
      </c>
      <c r="H37" s="137">
        <f t="shared" ref="H37:I37" si="3">SUM(H34:H36)</f>
        <v>626.19999999999982</v>
      </c>
      <c r="I37" s="137">
        <f t="shared" si="3"/>
        <v>696.2000000000005</v>
      </c>
      <c r="J37" s="136"/>
      <c r="K37" s="136"/>
      <c r="L37" s="136"/>
      <c r="M37" s="136"/>
      <c r="N37" s="136"/>
      <c r="O37" s="116"/>
      <c r="P37" s="134">
        <v>9.9999999999999995E-7</v>
      </c>
      <c r="Q37" s="116"/>
      <c r="R37"/>
      <c r="S37" s="116"/>
      <c r="T37" s="116"/>
      <c r="U37" s="116"/>
      <c r="V37" s="116"/>
      <c r="W37" s="116"/>
      <c r="X37" s="116"/>
    </row>
    <row r="38" spans="1:24" s="113" customFormat="1" ht="13.15" customHeight="1" x14ac:dyDescent="0.2">
      <c r="A38" s="112"/>
      <c r="B38" s="131" t="s">
        <v>39</v>
      </c>
      <c r="C38" s="131"/>
      <c r="D38" s="131"/>
      <c r="E38" s="142">
        <v>0.38</v>
      </c>
      <c r="G38" s="136">
        <f>-G37*$E38</f>
        <v>-290.96599999999995</v>
      </c>
      <c r="H38" s="136">
        <f t="shared" ref="H38:I38" si="4">-H37*$E38</f>
        <v>-237.95599999999993</v>
      </c>
      <c r="I38" s="136">
        <f t="shared" si="4"/>
        <v>-264.55600000000021</v>
      </c>
      <c r="J38" s="136"/>
      <c r="K38" s="136"/>
      <c r="L38" s="136"/>
      <c r="M38" s="136"/>
      <c r="N38" s="136"/>
      <c r="O38" s="116"/>
      <c r="P38" s="139"/>
      <c r="Q38" s="116"/>
      <c r="R38" s="116"/>
      <c r="S38" s="116"/>
      <c r="T38" s="116"/>
      <c r="U38" s="116"/>
      <c r="V38" s="116"/>
      <c r="W38" s="116"/>
      <c r="X38" s="116"/>
    </row>
    <row r="39" spans="1:24" s="113" customFormat="1" ht="13.15" customHeight="1" x14ac:dyDescent="0.2">
      <c r="A39" s="354"/>
      <c r="B39" s="131" t="s">
        <v>40</v>
      </c>
      <c r="C39" s="131"/>
      <c r="D39" s="131"/>
      <c r="G39" s="137">
        <f>SUM(G37:G38)</f>
        <v>474.73399999999987</v>
      </c>
      <c r="H39" s="137">
        <f t="shared" ref="H39:I39" si="5">SUM(H37:H38)</f>
        <v>388.24399999999991</v>
      </c>
      <c r="I39" s="137">
        <f t="shared" si="5"/>
        <v>431.64400000000029</v>
      </c>
      <c r="J39" s="136"/>
      <c r="K39" s="136"/>
      <c r="L39" s="136"/>
      <c r="M39" s="136"/>
      <c r="N39" s="136"/>
      <c r="O39" s="116"/>
      <c r="P39" s="134">
        <v>9.9999999999999995E-7</v>
      </c>
      <c r="Q39" s="116"/>
      <c r="S39" s="116"/>
      <c r="T39" s="116"/>
      <c r="U39" s="116"/>
      <c r="V39" s="116"/>
      <c r="W39" s="116"/>
      <c r="X39" s="116"/>
    </row>
    <row r="40" spans="1:24" s="113" customFormat="1" ht="6.4" customHeight="1" x14ac:dyDescent="0.2">
      <c r="A40" s="112"/>
      <c r="G40" s="138"/>
      <c r="H40" s="138"/>
      <c r="I40" s="138"/>
      <c r="J40" s="136"/>
      <c r="K40" s="136"/>
      <c r="L40" s="136"/>
      <c r="M40" s="136"/>
      <c r="N40" s="136"/>
      <c r="O40" s="116"/>
      <c r="P40" s="139"/>
      <c r="Q40" s="116"/>
      <c r="S40" s="116"/>
      <c r="T40" s="116"/>
      <c r="U40" s="116"/>
      <c r="V40" s="116"/>
      <c r="W40" s="116"/>
      <c r="X40" s="116"/>
    </row>
    <row r="41" spans="1:24" s="113" customFormat="1" ht="13.15" customHeight="1" x14ac:dyDescent="0.2">
      <c r="A41" s="112"/>
      <c r="B41" s="131" t="s">
        <v>42</v>
      </c>
      <c r="C41" s="131"/>
      <c r="D41" s="131"/>
      <c r="G41" s="138"/>
      <c r="H41" s="138">
        <f t="shared" ref="H41:I41" si="6">-(H35+H36)</f>
        <v>91.9</v>
      </c>
      <c r="I41" s="138">
        <f t="shared" si="6"/>
        <v>118.5</v>
      </c>
      <c r="J41" s="136"/>
      <c r="K41" s="136"/>
      <c r="L41" s="136"/>
      <c r="M41" s="136"/>
      <c r="N41" s="136"/>
      <c r="O41" s="116"/>
      <c r="P41" s="139"/>
      <c r="Q41" s="116"/>
      <c r="S41" s="116"/>
      <c r="T41" s="116"/>
      <c r="U41" s="116"/>
      <c r="V41" s="116"/>
      <c r="W41" s="116"/>
      <c r="X41" s="116"/>
    </row>
    <row r="42" spans="1:24" s="113" customFormat="1" ht="13.15" customHeight="1" x14ac:dyDescent="0.2">
      <c r="A42" s="112"/>
      <c r="B42" s="131" t="s">
        <v>45</v>
      </c>
      <c r="C42" s="131"/>
      <c r="D42" s="131"/>
      <c r="G42" s="138"/>
      <c r="H42" s="135">
        <v>-95.8</v>
      </c>
      <c r="I42" s="135">
        <v>-120.6</v>
      </c>
      <c r="J42" s="136"/>
      <c r="K42" s="136"/>
      <c r="L42" s="136"/>
      <c r="M42" s="136"/>
      <c r="N42" s="136"/>
      <c r="O42" s="116"/>
      <c r="P42" s="139"/>
      <c r="Q42" s="116"/>
      <c r="S42" s="116"/>
      <c r="T42" s="116"/>
      <c r="U42" s="116"/>
      <c r="V42" s="116"/>
      <c r="W42" s="116"/>
      <c r="X42" s="116"/>
    </row>
    <row r="43" spans="1:24" s="113" customFormat="1" ht="13.15" customHeight="1" x14ac:dyDescent="0.2">
      <c r="A43" s="112"/>
      <c r="B43" s="131" t="s">
        <v>49</v>
      </c>
      <c r="C43" s="131"/>
      <c r="D43" s="131"/>
      <c r="G43" s="138"/>
      <c r="H43" s="135">
        <v>-2</v>
      </c>
      <c r="I43" s="135">
        <v>-4</v>
      </c>
      <c r="J43" s="136"/>
      <c r="K43" s="136"/>
      <c r="L43" s="136"/>
      <c r="M43" s="136"/>
      <c r="N43" s="136"/>
      <c r="O43" s="116"/>
      <c r="P43" s="139"/>
      <c r="Q43" s="116"/>
      <c r="S43" s="116"/>
      <c r="T43" s="116"/>
      <c r="U43" s="116"/>
      <c r="V43" s="116"/>
      <c r="W43" s="116"/>
      <c r="X43" s="116"/>
    </row>
    <row r="44" spans="1:24" s="113" customFormat="1" ht="13.15" customHeight="1" x14ac:dyDescent="0.2">
      <c r="A44" s="112"/>
      <c r="B44" s="146" t="s">
        <v>53</v>
      </c>
      <c r="C44" s="131"/>
      <c r="D44" s="131"/>
      <c r="E44" s="131"/>
      <c r="F44" s="131"/>
      <c r="G44" s="138"/>
      <c r="H44" s="135">
        <v>-19.2</v>
      </c>
      <c r="I44" s="135">
        <v>-20</v>
      </c>
      <c r="J44" s="136"/>
      <c r="K44" s="136"/>
      <c r="L44" s="136"/>
      <c r="M44" s="136"/>
      <c r="N44" s="136"/>
      <c r="O44" s="116"/>
      <c r="P44" s="139"/>
      <c r="Q44" s="147"/>
      <c r="R44" s="116"/>
      <c r="S44" s="116"/>
      <c r="T44" s="116"/>
      <c r="U44" s="116"/>
      <c r="V44" s="116"/>
      <c r="W44" s="116"/>
      <c r="X44" s="116"/>
    </row>
    <row r="45" spans="1:24" s="153" customFormat="1" ht="13.15" customHeight="1" x14ac:dyDescent="0.2">
      <c r="A45" s="354"/>
      <c r="B45" s="148" t="s">
        <v>54</v>
      </c>
      <c r="C45" s="148"/>
      <c r="D45" s="148"/>
      <c r="E45" s="114"/>
      <c r="F45" s="114"/>
      <c r="G45" s="149"/>
      <c r="H45" s="150">
        <f>SUM(H39:H44)</f>
        <v>363.14399999999989</v>
      </c>
      <c r="I45" s="150">
        <f>SUM(I39:I44)</f>
        <v>405.54400000000021</v>
      </c>
      <c r="J45" s="151"/>
      <c r="K45" s="151"/>
      <c r="L45" s="151"/>
      <c r="M45" s="151"/>
      <c r="N45" s="151"/>
      <c r="O45" s="114"/>
      <c r="P45" s="152">
        <v>9.9999999999999995E-7</v>
      </c>
      <c r="Q45" s="114"/>
      <c r="R45" s="114"/>
      <c r="S45" s="116"/>
      <c r="T45" s="116"/>
      <c r="U45" s="116"/>
      <c r="V45" s="116"/>
      <c r="W45" s="116"/>
      <c r="X45" s="116"/>
    </row>
    <row r="46" spans="1:24" s="153" customFormat="1" ht="13.15" customHeight="1" x14ac:dyDescent="0.2">
      <c r="A46" s="112"/>
      <c r="B46" s="148"/>
      <c r="C46" s="148"/>
      <c r="D46" s="148"/>
      <c r="E46" s="114"/>
      <c r="F46" s="114"/>
      <c r="G46" s="149"/>
      <c r="H46" s="151"/>
      <c r="I46" s="151"/>
      <c r="J46" s="151"/>
      <c r="K46" s="151"/>
      <c r="L46" s="151"/>
      <c r="M46" s="151"/>
      <c r="N46" s="151"/>
      <c r="O46" s="114"/>
      <c r="P46" s="152"/>
      <c r="Q46" s="114"/>
      <c r="R46" s="114"/>
    </row>
    <row r="47" spans="1:24" s="116" customFormat="1" ht="13.15" customHeight="1" x14ac:dyDescent="0.2">
      <c r="A47" s="112"/>
      <c r="B47" s="154"/>
      <c r="C47" s="154"/>
      <c r="D47" s="154"/>
      <c r="E47" s="122"/>
      <c r="F47" s="122"/>
      <c r="H47" s="155"/>
      <c r="I47" s="155"/>
      <c r="J47" s="155"/>
      <c r="K47" s="155"/>
      <c r="L47" s="155"/>
      <c r="M47" s="155"/>
      <c r="N47" s="155"/>
    </row>
    <row r="48" spans="1:24" s="113" customFormat="1" ht="12.75" customHeight="1" x14ac:dyDescent="0.2">
      <c r="A48" s="112"/>
      <c r="G48" s="125" t="s">
        <v>28</v>
      </c>
      <c r="H48" s="126"/>
      <c r="I48" s="127"/>
      <c r="J48" s="125" t="s">
        <v>29</v>
      </c>
      <c r="K48" s="128"/>
      <c r="L48" s="128"/>
      <c r="M48" s="128"/>
      <c r="N48" s="129"/>
    </row>
    <row r="49" spans="1:21" s="113" customFormat="1" ht="13.15" customHeight="1" x14ac:dyDescent="0.2">
      <c r="A49" s="112"/>
      <c r="B49" s="156" t="s">
        <v>55</v>
      </c>
      <c r="G49" s="379">
        <f t="shared" ref="G49:N49" si="7">G27</f>
        <v>2013</v>
      </c>
      <c r="H49" s="379">
        <f t="shared" si="7"/>
        <v>2014</v>
      </c>
      <c r="I49" s="380">
        <f t="shared" si="7"/>
        <v>2015</v>
      </c>
      <c r="J49" s="379">
        <f t="shared" si="7"/>
        <v>2016</v>
      </c>
      <c r="K49" s="379">
        <f t="shared" si="7"/>
        <v>2017</v>
      </c>
      <c r="L49" s="379">
        <f t="shared" si="7"/>
        <v>2018</v>
      </c>
      <c r="M49" s="379">
        <f t="shared" si="7"/>
        <v>2019</v>
      </c>
      <c r="N49" s="379">
        <f t="shared" si="7"/>
        <v>2020</v>
      </c>
      <c r="P49" s="116"/>
      <c r="Q49" s="157" t="s">
        <v>56</v>
      </c>
    </row>
    <row r="50" spans="1:21" s="113" customFormat="1" ht="12.75" customHeight="1" x14ac:dyDescent="0.2">
      <c r="A50" s="112"/>
      <c r="G50" s="116"/>
      <c r="H50" s="116"/>
      <c r="I50" s="116"/>
      <c r="J50" s="116"/>
      <c r="K50" s="116"/>
      <c r="L50" s="116"/>
      <c r="M50" s="116"/>
      <c r="N50" s="116"/>
      <c r="P50" s="116"/>
    </row>
    <row r="51" spans="1:21" s="116" customFormat="1" ht="13.15" customHeight="1" x14ac:dyDescent="0.2">
      <c r="A51" s="397">
        <v>3</v>
      </c>
      <c r="C51" s="158" t="s">
        <v>57</v>
      </c>
      <c r="G51" s="537"/>
      <c r="H51" s="159">
        <f>H29/G29-1</f>
        <v>2.6982426060865761E-2</v>
      </c>
      <c r="I51" s="159">
        <f>I29/H29-1</f>
        <v>4.0944093157202932E-2</v>
      </c>
      <c r="J51" s="370">
        <v>0.04</v>
      </c>
      <c r="K51" s="438">
        <v>1E-4</v>
      </c>
      <c r="L51" s="159">
        <v>1E-4</v>
      </c>
      <c r="M51" s="159">
        <v>1E-4</v>
      </c>
      <c r="N51" s="159">
        <v>1E-4</v>
      </c>
      <c r="Q51" s="160"/>
      <c r="S51" s="143" t="s">
        <v>41</v>
      </c>
      <c r="T51" s="140"/>
      <c r="U51" s="141"/>
    </row>
    <row r="52" spans="1:21" s="113" customFormat="1" ht="13.15" customHeight="1" x14ac:dyDescent="0.2">
      <c r="A52" s="397" t="s">
        <v>94</v>
      </c>
      <c r="B52" s="116"/>
      <c r="C52" s="158" t="s">
        <v>58</v>
      </c>
      <c r="F52" s="116"/>
      <c r="G52" s="159">
        <f>G30/G29</f>
        <v>0.74984997856836699</v>
      </c>
      <c r="H52" s="159">
        <f t="shared" ref="H52:I52" si="8">H30/H29</f>
        <v>0.78626432104175803</v>
      </c>
      <c r="I52" s="159">
        <f t="shared" si="8"/>
        <v>0.78047753653695784</v>
      </c>
      <c r="J52" s="371">
        <v>0.78</v>
      </c>
      <c r="K52" s="436">
        <v>1E-4</v>
      </c>
      <c r="L52" s="436">
        <v>1E-4</v>
      </c>
      <c r="M52" s="436">
        <v>1E-4</v>
      </c>
      <c r="N52" s="437">
        <v>1E-4</v>
      </c>
      <c r="O52" s="441"/>
      <c r="Q52" s="435">
        <v>-1E-3</v>
      </c>
      <c r="S52" s="144"/>
      <c r="T52" s="220" t="s">
        <v>43</v>
      </c>
      <c r="U52" s="221" t="s">
        <v>44</v>
      </c>
    </row>
    <row r="53" spans="1:21" s="113" customFormat="1" ht="13.15" customHeight="1" x14ac:dyDescent="0.2">
      <c r="A53" s="397">
        <v>4</v>
      </c>
      <c r="B53" s="116"/>
      <c r="C53" s="158" t="s">
        <v>59</v>
      </c>
      <c r="F53" s="116"/>
      <c r="G53" s="159">
        <f>G33/G29</f>
        <v>6.7723960565795119E-2</v>
      </c>
      <c r="H53" s="159">
        <f>H33/H29</f>
        <v>6.3878628518959091E-2</v>
      </c>
      <c r="I53" s="159">
        <f>I33/I29</f>
        <v>5.6193741103827105E-2</v>
      </c>
      <c r="J53" s="455">
        <v>5.6000000000000001E-2</v>
      </c>
      <c r="K53" s="454">
        <v>1E-4</v>
      </c>
      <c r="L53" s="159">
        <v>1E-4</v>
      </c>
      <c r="M53" s="159">
        <v>1E-4</v>
      </c>
      <c r="N53" s="159">
        <v>1E-4</v>
      </c>
      <c r="Q53" s="160"/>
      <c r="S53" s="366" t="s">
        <v>46</v>
      </c>
      <c r="T53" s="367" t="s">
        <v>47</v>
      </c>
      <c r="U53" s="368" t="s">
        <v>48</v>
      </c>
    </row>
    <row r="54" spans="1:21" s="113" customFormat="1" ht="13.15" customHeight="1" x14ac:dyDescent="0.2">
      <c r="A54" s="397">
        <v>6</v>
      </c>
      <c r="C54" s="161" t="s">
        <v>60</v>
      </c>
      <c r="G54" s="159">
        <f>G34/G29</f>
        <v>0.18242606086583793</v>
      </c>
      <c r="H54" s="443">
        <f t="shared" ref="H54:I54" si="9">H34/H29</f>
        <v>0.14985705043928294</v>
      </c>
      <c r="I54" s="372">
        <f t="shared" si="9"/>
        <v>0.16332872235921503</v>
      </c>
      <c r="J54" s="456">
        <v>1E-4</v>
      </c>
      <c r="K54" s="456">
        <v>1E-4</v>
      </c>
      <c r="L54" s="456">
        <v>1E-4</v>
      </c>
      <c r="M54" s="456">
        <v>1E-4</v>
      </c>
      <c r="N54" s="457">
        <v>1E-4</v>
      </c>
      <c r="O54" s="442"/>
      <c r="Q54" s="160"/>
      <c r="S54" s="215" t="s">
        <v>50</v>
      </c>
      <c r="T54" s="369" t="s">
        <v>51</v>
      </c>
      <c r="U54" s="145" t="s">
        <v>52</v>
      </c>
    </row>
    <row r="55" spans="1:21" s="113" customFormat="1" ht="13.15" customHeight="1" x14ac:dyDescent="0.2">
      <c r="A55" s="112"/>
      <c r="C55" s="161" t="s">
        <v>61</v>
      </c>
      <c r="H55" s="159">
        <f>IF(H29=0,0,-H42/H29)</f>
        <v>1.9992069951376281E-2</v>
      </c>
      <c r="I55" s="159">
        <f>IF(I29=0,0,-I42/I29)</f>
        <v>2.4177542551272024E-2</v>
      </c>
      <c r="J55" s="458">
        <v>2.5000000000000001E-2</v>
      </c>
      <c r="K55" s="456">
        <f t="shared" ref="K55:N59" si="10">J55</f>
        <v>2.5000000000000001E-2</v>
      </c>
      <c r="L55" s="456">
        <f t="shared" si="10"/>
        <v>2.5000000000000001E-2</v>
      </c>
      <c r="M55" s="456">
        <f t="shared" si="10"/>
        <v>2.5000000000000001E-2</v>
      </c>
      <c r="N55" s="456">
        <f t="shared" si="10"/>
        <v>2.5000000000000001E-2</v>
      </c>
      <c r="Q55" s="160"/>
    </row>
    <row r="56" spans="1:21" s="113" customFormat="1" ht="13.15" customHeight="1" x14ac:dyDescent="0.2">
      <c r="A56" s="112"/>
      <c r="C56" s="161" t="s">
        <v>62</v>
      </c>
      <c r="G56" s="162"/>
      <c r="H56" s="159">
        <f>IF(H42=0,0,H35/H42)</f>
        <v>0.93945720250521925</v>
      </c>
      <c r="I56" s="159">
        <f>IF(I42=0,0,I35/I42)</f>
        <v>0.95439469320066339</v>
      </c>
      <c r="J56" s="160">
        <v>0.98</v>
      </c>
      <c r="K56" s="159">
        <f t="shared" si="10"/>
        <v>0.98</v>
      </c>
      <c r="L56" s="159">
        <f t="shared" si="10"/>
        <v>0.98</v>
      </c>
      <c r="M56" s="159">
        <f t="shared" si="10"/>
        <v>0.98</v>
      </c>
      <c r="N56" s="159">
        <f t="shared" si="10"/>
        <v>0.98</v>
      </c>
      <c r="Q56" s="160">
        <v>5.0000000000000001E-3</v>
      </c>
    </row>
    <row r="57" spans="1:21" s="113" customFormat="1" ht="13.15" customHeight="1" x14ac:dyDescent="0.2">
      <c r="A57" s="112"/>
      <c r="C57" s="161" t="s">
        <v>63</v>
      </c>
      <c r="H57" s="163">
        <f>-H43</f>
        <v>2</v>
      </c>
      <c r="I57" s="133">
        <f>-I43</f>
        <v>4</v>
      </c>
      <c r="J57" s="164">
        <v>5</v>
      </c>
      <c r="K57" s="165">
        <f t="shared" si="10"/>
        <v>5</v>
      </c>
      <c r="L57" s="165">
        <f t="shared" si="10"/>
        <v>5</v>
      </c>
      <c r="M57" s="165">
        <f t="shared" si="10"/>
        <v>5</v>
      </c>
      <c r="N57" s="165">
        <f t="shared" si="10"/>
        <v>5</v>
      </c>
      <c r="Q57" s="164"/>
      <c r="U57" s="166"/>
    </row>
    <row r="58" spans="1:21" s="113" customFormat="1" ht="13.15" customHeight="1" x14ac:dyDescent="0.2">
      <c r="A58" s="112"/>
      <c r="C58" s="161" t="s">
        <v>64</v>
      </c>
      <c r="H58" s="138">
        <f>-H36</f>
        <v>1.9</v>
      </c>
      <c r="I58" s="136">
        <f>-I36</f>
        <v>3.4</v>
      </c>
      <c r="J58" s="167">
        <v>4.5</v>
      </c>
      <c r="K58" s="168">
        <f>J58+$Q58</f>
        <v>4.5999999999999996</v>
      </c>
      <c r="L58" s="168">
        <f t="shared" ref="L58:N58" si="11">K58+$Q58</f>
        <v>4.6999999999999993</v>
      </c>
      <c r="M58" s="168">
        <f t="shared" si="11"/>
        <v>4.7999999999999989</v>
      </c>
      <c r="N58" s="168">
        <f t="shared" si="11"/>
        <v>4.8999999999999986</v>
      </c>
      <c r="Q58" s="167">
        <v>0.1</v>
      </c>
    </row>
    <row r="59" spans="1:21" s="113" customFormat="1" ht="13.15" customHeight="1" x14ac:dyDescent="0.2">
      <c r="A59" s="112"/>
      <c r="C59" s="161" t="s">
        <v>65</v>
      </c>
      <c r="G59" s="105"/>
      <c r="H59" s="159">
        <f>IF(H29=0,0,H44/H29)</f>
        <v>-4.0067614098791716E-3</v>
      </c>
      <c r="I59" s="159">
        <f>IF(I29=0,0,I44/I29)</f>
        <v>-4.0095427116537356E-3</v>
      </c>
      <c r="J59" s="160">
        <v>-4.0000000000000001E-3</v>
      </c>
      <c r="K59" s="159">
        <f t="shared" si="10"/>
        <v>-4.0000000000000001E-3</v>
      </c>
      <c r="L59" s="159">
        <f t="shared" si="10"/>
        <v>-4.0000000000000001E-3</v>
      </c>
      <c r="M59" s="159">
        <f t="shared" si="10"/>
        <v>-4.0000000000000001E-3</v>
      </c>
      <c r="N59" s="159">
        <f t="shared" si="10"/>
        <v>-4.0000000000000001E-3</v>
      </c>
      <c r="Q59" s="160"/>
    </row>
    <row r="60" spans="1:21" s="113" customFormat="1" ht="13.15" customHeight="1" x14ac:dyDescent="0.2">
      <c r="A60" s="112"/>
      <c r="B60" s="105"/>
      <c r="C60" s="105"/>
      <c r="D60" s="105"/>
      <c r="E60" s="105"/>
      <c r="G60" s="131"/>
      <c r="H60" s="162"/>
      <c r="I60" s="162"/>
      <c r="J60" s="169"/>
      <c r="K60" s="170"/>
      <c r="L60" s="170"/>
      <c r="M60" s="170"/>
      <c r="N60" s="170"/>
      <c r="Q60" s="105"/>
    </row>
    <row r="61" spans="1:21" ht="13.15" customHeight="1" x14ac:dyDescent="0.2">
      <c r="A61" s="112"/>
      <c r="C61" s="171" t="s">
        <v>66</v>
      </c>
      <c r="D61" s="172"/>
      <c r="E61" s="173"/>
      <c r="F61" s="173"/>
      <c r="G61" s="174">
        <v>0.08</v>
      </c>
      <c r="I61" s="175" t="s">
        <v>67</v>
      </c>
      <c r="J61" s="176"/>
      <c r="K61" s="177"/>
      <c r="L61" s="177"/>
      <c r="M61" s="177"/>
      <c r="N61" s="178"/>
    </row>
    <row r="62" spans="1:21" ht="13.15" customHeight="1" x14ac:dyDescent="0.2">
      <c r="A62" s="112"/>
      <c r="C62" s="179" t="s">
        <v>68</v>
      </c>
      <c r="D62" s="180"/>
      <c r="E62" s="155"/>
      <c r="F62" s="155"/>
      <c r="G62" s="181">
        <v>0.03</v>
      </c>
      <c r="J62" s="182"/>
      <c r="K62" s="183" t="s">
        <v>57</v>
      </c>
      <c r="L62" s="184"/>
      <c r="M62" s="184"/>
      <c r="N62" s="184"/>
      <c r="Q62" s="185" t="s">
        <v>69</v>
      </c>
      <c r="R62" s="186" t="s">
        <v>70</v>
      </c>
    </row>
    <row r="63" spans="1:21" ht="13.15" customHeight="1" x14ac:dyDescent="0.2">
      <c r="A63" s="112"/>
      <c r="J63" s="187">
        <f>G74</f>
        <v>9.9999999999999995E-7</v>
      </c>
      <c r="K63" s="188">
        <v>0.03</v>
      </c>
      <c r="L63" s="189">
        <f>K63+$R$63</f>
        <v>3.4999999999999996E-2</v>
      </c>
      <c r="M63" s="189">
        <f>L63+$R$63</f>
        <v>3.9999999999999994E-2</v>
      </c>
      <c r="N63" s="189">
        <f>M63+$R$63</f>
        <v>4.4999999999999991E-2</v>
      </c>
      <c r="Q63" s="190">
        <v>3.0000000000000001E-3</v>
      </c>
      <c r="R63" s="190">
        <v>5.0000000000000001E-3</v>
      </c>
    </row>
    <row r="64" spans="1:21" ht="13.15" customHeight="1" x14ac:dyDescent="0.2">
      <c r="A64" s="112"/>
      <c r="C64" s="131" t="s">
        <v>71</v>
      </c>
      <c r="D64" s="131"/>
      <c r="E64" s="113"/>
      <c r="F64" s="113"/>
      <c r="G64" s="163">
        <v>9.9999999999999995E-7</v>
      </c>
      <c r="J64" s="139">
        <f>J65-$Q$63</f>
        <v>0.76800000000000002</v>
      </c>
      <c r="K64" s="191"/>
      <c r="L64" s="192"/>
      <c r="M64" s="192"/>
      <c r="N64" s="193"/>
    </row>
    <row r="65" spans="1:22" ht="13.15" customHeight="1" x14ac:dyDescent="0.2">
      <c r="A65" s="112"/>
      <c r="C65" s="194" t="s">
        <v>72</v>
      </c>
      <c r="D65" s="194"/>
      <c r="E65" s="116"/>
      <c r="F65" s="116"/>
      <c r="G65" s="195">
        <v>9.9999999999999995E-7</v>
      </c>
      <c r="J65" s="189">
        <f>J66-$Q$63</f>
        <v>0.77100000000000002</v>
      </c>
      <c r="K65" s="196"/>
      <c r="L65" s="197"/>
      <c r="M65" s="197"/>
      <c r="N65" s="198"/>
      <c r="Q65" s="551" t="str">
        <f>"Steps to complete the data table"</f>
        <v>Steps to complete the data table</v>
      </c>
      <c r="R65" s="552"/>
      <c r="S65" s="552"/>
      <c r="T65" s="552"/>
      <c r="U65" s="552"/>
      <c r="V65" s="553"/>
    </row>
    <row r="66" spans="1:22" ht="13.15" customHeight="1" x14ac:dyDescent="0.2">
      <c r="A66" s="112"/>
      <c r="C66" s="131" t="s">
        <v>73</v>
      </c>
      <c r="D66" s="131"/>
      <c r="E66" s="113"/>
      <c r="F66" s="113"/>
      <c r="G66" s="138">
        <v>9.9999999999999995E-7</v>
      </c>
      <c r="I66" s="199"/>
      <c r="J66" s="189">
        <f>J67-$Q$63</f>
        <v>0.77400000000000002</v>
      </c>
      <c r="K66" s="196"/>
      <c r="L66" s="197"/>
      <c r="M66" s="197"/>
      <c r="N66" s="198"/>
      <c r="Q66" s="554" t="str">
        <f>"1) Link the ''Output Cell'' "&amp;ADDRESS(ROW(J63),COLUMN(J63),4) &amp;" to the cell you want to ''study'' "&amp;ADDRESS(ROW(G74),COLUMN(G74),4)</f>
        <v>1) Link the ''Output Cell'' J63 to the cell you want to ''study'' G74</v>
      </c>
      <c r="R66" s="200"/>
      <c r="S66" s="200"/>
      <c r="T66" s="200"/>
      <c r="U66" s="200"/>
      <c r="V66" s="555"/>
    </row>
    <row r="67" spans="1:22" ht="13.15" customHeight="1" x14ac:dyDescent="0.2">
      <c r="A67" s="112"/>
      <c r="C67" s="201" t="s">
        <v>74</v>
      </c>
      <c r="D67" s="201"/>
      <c r="E67" s="202"/>
      <c r="F67" s="202"/>
      <c r="G67" s="150">
        <v>9.9999999999999995E-7</v>
      </c>
      <c r="J67" s="189">
        <f>J68-$Q$63</f>
        <v>0.77700000000000002</v>
      </c>
      <c r="K67" s="196"/>
      <c r="L67" s="197"/>
      <c r="M67" s="197"/>
      <c r="N67" s="198"/>
      <c r="Q67" s="554" t="str">
        <f>"2) Highlight the range "&amp;ADDRESS(ROW(J63),COLUMN(J63),4)&amp;":"&amp;ADDRESS(ROW(N72),COLUMN(N72),4)</f>
        <v>2) Highlight the range J63:N72</v>
      </c>
      <c r="R67" s="200"/>
      <c r="S67" s="200"/>
      <c r="T67" s="200"/>
      <c r="U67" s="200"/>
      <c r="V67" s="555"/>
    </row>
    <row r="68" spans="1:22" ht="13.15" customHeight="1" x14ac:dyDescent="0.2">
      <c r="A68" s="112"/>
      <c r="C68" s="113" t="s">
        <v>75</v>
      </c>
      <c r="D68" s="131"/>
      <c r="E68" s="113"/>
      <c r="F68" s="113"/>
      <c r="G68" s="203">
        <v>-523</v>
      </c>
      <c r="I68" s="204" t="s">
        <v>76</v>
      </c>
      <c r="J68" s="142">
        <v>0.78</v>
      </c>
      <c r="K68" s="196"/>
      <c r="L68" s="197"/>
      <c r="M68" s="197"/>
      <c r="N68" s="198"/>
      <c r="Q68" s="554" t="s">
        <v>77</v>
      </c>
      <c r="R68" s="200"/>
      <c r="S68" s="200"/>
      <c r="T68" s="200"/>
      <c r="U68" s="200"/>
      <c r="V68" s="555"/>
    </row>
    <row r="69" spans="1:22" ht="13.15" customHeight="1" x14ac:dyDescent="0.2">
      <c r="A69" s="112"/>
      <c r="C69" s="113" t="s">
        <v>78</v>
      </c>
      <c r="D69" s="131"/>
      <c r="E69" s="113"/>
      <c r="F69" s="113"/>
      <c r="G69" s="167">
        <v>48.1</v>
      </c>
      <c r="J69" s="189">
        <f>J68+$Q$63</f>
        <v>0.78300000000000003</v>
      </c>
      <c r="K69" s="196"/>
      <c r="L69" s="197"/>
      <c r="M69" s="197"/>
      <c r="N69" s="198"/>
      <c r="Q69" s="560" t="s">
        <v>104</v>
      </c>
      <c r="R69" s="200"/>
      <c r="S69" s="200"/>
      <c r="T69" s="200"/>
      <c r="U69" s="200"/>
      <c r="V69" s="555"/>
    </row>
    <row r="70" spans="1:22" ht="13.15" customHeight="1" x14ac:dyDescent="0.2">
      <c r="A70" s="112"/>
      <c r="C70" s="201" t="s">
        <v>79</v>
      </c>
      <c r="D70" s="201"/>
      <c r="E70" s="202"/>
      <c r="F70" s="202"/>
      <c r="G70" s="150">
        <v>9.9999999999999995E-7</v>
      </c>
      <c r="J70" s="189">
        <f>J69+$Q$63</f>
        <v>0.78600000000000003</v>
      </c>
      <c r="K70" s="196"/>
      <c r="L70" s="197"/>
      <c r="M70" s="197"/>
      <c r="N70" s="198"/>
      <c r="Q70" s="560" t="s">
        <v>80</v>
      </c>
      <c r="R70" s="200"/>
      <c r="S70" s="200"/>
      <c r="T70" s="200"/>
      <c r="U70" s="200"/>
      <c r="V70" s="555"/>
    </row>
    <row r="71" spans="1:22" ht="13.15" customHeight="1" x14ac:dyDescent="0.2">
      <c r="A71" s="112"/>
      <c r="J71" s="189">
        <f>J70+$Q$63</f>
        <v>0.78900000000000003</v>
      </c>
      <c r="K71" s="196"/>
      <c r="L71" s="197"/>
      <c r="M71" s="197"/>
      <c r="N71" s="198"/>
      <c r="Q71" s="560" t="s">
        <v>81</v>
      </c>
      <c r="R71" s="200"/>
      <c r="S71" s="200"/>
      <c r="T71" s="200"/>
      <c r="U71" s="200"/>
      <c r="V71" s="555"/>
    </row>
    <row r="72" spans="1:22" ht="13.15" customHeight="1" thickBot="1" x14ac:dyDescent="0.25">
      <c r="A72" s="112"/>
      <c r="D72" s="113"/>
      <c r="E72" s="113"/>
      <c r="F72" s="205" t="s">
        <v>82</v>
      </c>
      <c r="G72" s="206">
        <v>241.48099999999999</v>
      </c>
      <c r="J72" s="189">
        <f>J71+$Q$63</f>
        <v>0.79200000000000004</v>
      </c>
      <c r="K72" s="207"/>
      <c r="L72" s="208"/>
      <c r="M72" s="208"/>
      <c r="N72" s="209"/>
      <c r="Q72" s="554" t="str">
        <f>"4) Row input cell select "&amp;ADDRESS(ROW(J51),COLUMN(J51),4)&amp;". Column input cell select "&amp;ADDRESS(ROW(J52),COLUMN(J52),4)</f>
        <v>4) Row input cell select J51. Column input cell select J52</v>
      </c>
      <c r="R72" s="200"/>
      <c r="S72" s="200"/>
      <c r="T72" s="200"/>
      <c r="U72" s="200"/>
      <c r="V72" s="555"/>
    </row>
    <row r="73" spans="1:22" ht="13.15" customHeight="1" thickTop="1" x14ac:dyDescent="0.2">
      <c r="A73" s="112"/>
      <c r="D73" s="194"/>
      <c r="E73" s="116"/>
      <c r="F73" s="116"/>
      <c r="G73" s="116"/>
      <c r="Q73" s="556" t="s">
        <v>83</v>
      </c>
      <c r="R73" s="200"/>
      <c r="S73" s="200"/>
      <c r="T73" s="200"/>
      <c r="U73" s="200"/>
      <c r="V73" s="555"/>
    </row>
    <row r="74" spans="1:22" ht="13.15" customHeight="1" thickBot="1" x14ac:dyDescent="0.25">
      <c r="A74" s="354" t="s">
        <v>23</v>
      </c>
      <c r="B74" s="354"/>
      <c r="D74" s="210"/>
      <c r="E74" s="211"/>
      <c r="F74" s="212" t="s">
        <v>84</v>
      </c>
      <c r="G74" s="213">
        <v>9.9999999999999995E-7</v>
      </c>
      <c r="I74"/>
      <c r="J74"/>
      <c r="L74"/>
      <c r="M74"/>
      <c r="N74"/>
      <c r="Q74" s="561" t="s">
        <v>85</v>
      </c>
      <c r="R74" s="558"/>
      <c r="S74" s="558"/>
      <c r="T74" s="558"/>
      <c r="U74" s="558"/>
      <c r="V74" s="559"/>
    </row>
    <row r="75" spans="1:22" ht="13.15" customHeight="1" thickTop="1" x14ac:dyDescent="0.2">
      <c r="A75" s="354"/>
      <c r="B75" s="354"/>
      <c r="I75"/>
      <c r="J75"/>
      <c r="L75"/>
      <c r="M75"/>
      <c r="N75"/>
    </row>
    <row r="76" spans="1:22" ht="13.15" customHeight="1" x14ac:dyDescent="0.2">
      <c r="A76" s="354"/>
      <c r="B76" s="354"/>
      <c r="I76"/>
      <c r="J76"/>
      <c r="L76"/>
      <c r="M76"/>
      <c r="N76"/>
      <c r="Q76" s="551" t="str">
        <f>"Adding Conditional Formatting"</f>
        <v>Adding Conditional Formatting</v>
      </c>
      <c r="R76" s="552"/>
      <c r="S76" s="552"/>
      <c r="T76" s="552"/>
      <c r="U76" s="552"/>
      <c r="V76" s="553"/>
    </row>
    <row r="77" spans="1:22" ht="13.15" customHeight="1" x14ac:dyDescent="0.2">
      <c r="A77" s="354"/>
      <c r="B77" s="354"/>
      <c r="I77"/>
      <c r="J77"/>
      <c r="L77"/>
      <c r="M77"/>
      <c r="N77"/>
      <c r="Q77" s="554" t="str">
        <f>"1) Highlight the range "&amp;ADDRESS(ROW(K64),COLUMN(K64),4)&amp;":"&amp;ADDRESS(ROW(N72),COLUMN(N72),4)</f>
        <v>1) Highlight the range K64:N72</v>
      </c>
      <c r="R77" s="200"/>
      <c r="S77" s="200"/>
      <c r="T77" s="200"/>
      <c r="U77" s="200"/>
      <c r="V77" s="555"/>
    </row>
    <row r="78" spans="1:22" ht="13.15" customHeight="1" x14ac:dyDescent="0.2">
      <c r="A78" s="354"/>
      <c r="B78" s="354"/>
      <c r="I78"/>
      <c r="J78"/>
      <c r="L78"/>
      <c r="M78"/>
      <c r="N78"/>
      <c r="Q78" s="556" t="s">
        <v>200</v>
      </c>
      <c r="R78" s="200"/>
      <c r="S78" s="200"/>
      <c r="T78" s="200"/>
      <c r="U78" s="200"/>
      <c r="V78" s="555"/>
    </row>
    <row r="79" spans="1:22" ht="13.15" customHeight="1" x14ac:dyDescent="0.2">
      <c r="A79" s="354"/>
      <c r="B79" s="354"/>
      <c r="I79"/>
      <c r="J79"/>
      <c r="L79"/>
      <c r="M79"/>
      <c r="N79"/>
      <c r="Q79" s="556" t="s">
        <v>202</v>
      </c>
      <c r="R79" s="200"/>
      <c r="S79" s="200"/>
      <c r="T79" s="200"/>
      <c r="U79" s="200"/>
      <c r="V79" s="555"/>
    </row>
    <row r="80" spans="1:22" ht="13.15" customHeight="1" x14ac:dyDescent="0.2">
      <c r="A80" s="354"/>
      <c r="B80" s="354"/>
      <c r="I80"/>
      <c r="J80"/>
      <c r="L80"/>
      <c r="M80"/>
      <c r="N80"/>
      <c r="Q80" s="557" t="s">
        <v>201</v>
      </c>
      <c r="R80" s="558"/>
      <c r="S80" s="558"/>
      <c r="T80" s="558"/>
      <c r="U80" s="558"/>
      <c r="V80" s="559"/>
    </row>
    <row r="81" spans="1:14" ht="13.15" customHeight="1" x14ac:dyDescent="0.2">
      <c r="A81" s="354"/>
      <c r="B81" s="354"/>
      <c r="I81"/>
      <c r="J81"/>
      <c r="L81"/>
      <c r="M81"/>
      <c r="N81"/>
    </row>
    <row r="82" spans="1:14" ht="13.15" customHeight="1" x14ac:dyDescent="0.2">
      <c r="A82" s="354" t="s">
        <v>23</v>
      </c>
      <c r="B82" s="354" t="s">
        <v>86</v>
      </c>
      <c r="L82"/>
      <c r="M82"/>
      <c r="N82"/>
    </row>
    <row r="83" spans="1:14" ht="13.15" customHeight="1" x14ac:dyDescent="0.2">
      <c r="L83"/>
      <c r="M83"/>
      <c r="N83"/>
    </row>
  </sheetData>
  <sheetProtection formatCells="0" formatColumns="0" formatRows="0" insertColumns="0" insertRows="0" insertHyperlinks="0" deleteColumns="0" deleteRows="0" sort="0" autoFilter="0" pivotTables="0"/>
  <protectedRanges>
    <protectedRange sqref="G61:G62" name="Range1"/>
    <protectedRange sqref="G65" name="Range1_1"/>
  </protectedRanges>
  <mergeCells count="3">
    <mergeCell ref="R2:R3"/>
    <mergeCell ref="R4:R7"/>
    <mergeCell ref="R9:R11"/>
  </mergeCells>
  <conditionalFormatting sqref="J63">
    <cfRule type="cellIs" dxfId="111" priority="29" stopIfTrue="1" operator="equal">
      <formula>0</formula>
    </cfRule>
  </conditionalFormatting>
  <conditionalFormatting sqref="G31:I31">
    <cfRule type="cellIs" dxfId="110" priority="28" stopIfTrue="1" operator="equal">
      <formula>0.000001</formula>
    </cfRule>
  </conditionalFormatting>
  <conditionalFormatting sqref="G34:I34">
    <cfRule type="cellIs" dxfId="109" priority="27" stopIfTrue="1" operator="equal">
      <formula>0.000001</formula>
    </cfRule>
  </conditionalFormatting>
  <conditionalFormatting sqref="H45:I45">
    <cfRule type="cellIs" dxfId="108" priority="24" stopIfTrue="1" operator="equal">
      <formula>0.000001</formula>
    </cfRule>
  </conditionalFormatting>
  <conditionalFormatting sqref="G39:I39">
    <cfRule type="cellIs" dxfId="107" priority="25" stopIfTrue="1" operator="equal">
      <formula>0.000001</formula>
    </cfRule>
  </conditionalFormatting>
  <conditionalFormatting sqref="J29:N29">
    <cfRule type="cellIs" dxfId="106" priority="23" stopIfTrue="1" operator="equal">
      <formula>0.000001</formula>
    </cfRule>
  </conditionalFormatting>
  <conditionalFormatting sqref="J30:N30">
    <cfRule type="cellIs" dxfId="105" priority="22" stopIfTrue="1" operator="equal">
      <formula>0.000001</formula>
    </cfRule>
  </conditionalFormatting>
  <conditionalFormatting sqref="J33:N33">
    <cfRule type="cellIs" dxfId="104" priority="21" stopIfTrue="1" operator="equal">
      <formula>0.000001</formula>
    </cfRule>
  </conditionalFormatting>
  <conditionalFormatting sqref="G37:I37">
    <cfRule type="cellIs" dxfId="103" priority="20" stopIfTrue="1" operator="equal">
      <formula>0.000001</formula>
    </cfRule>
  </conditionalFormatting>
  <conditionalFormatting sqref="H51:I52 G52:I52">
    <cfRule type="cellIs" dxfId="102" priority="19" stopIfTrue="1" operator="equal">
      <formula>0.000001</formula>
    </cfRule>
  </conditionalFormatting>
  <conditionalFormatting sqref="G53">
    <cfRule type="cellIs" dxfId="101" priority="18" stopIfTrue="1" operator="equal">
      <formula>0.000001</formula>
    </cfRule>
  </conditionalFormatting>
  <conditionalFormatting sqref="H53">
    <cfRule type="cellIs" dxfId="100" priority="17" stopIfTrue="1" operator="equal">
      <formula>0.000001</formula>
    </cfRule>
  </conditionalFormatting>
  <conditionalFormatting sqref="I53:J53">
    <cfRule type="cellIs" dxfId="99" priority="16" stopIfTrue="1" operator="equal">
      <formula>0.000001</formula>
    </cfRule>
  </conditionalFormatting>
  <conditionalFormatting sqref="I54">
    <cfRule type="cellIs" dxfId="98" priority="14" stopIfTrue="1" operator="equal">
      <formula>0.000001</formula>
    </cfRule>
  </conditionalFormatting>
  <conditionalFormatting sqref="G54:H54">
    <cfRule type="cellIs" dxfId="97" priority="13" stopIfTrue="1" operator="equal">
      <formula>0.000001</formula>
    </cfRule>
  </conditionalFormatting>
  <conditionalFormatting sqref="H56:I56">
    <cfRule type="cellIs" dxfId="96" priority="12" stopIfTrue="1" operator="equal">
      <formula>0.000001</formula>
    </cfRule>
  </conditionalFormatting>
  <conditionalFormatting sqref="K56">
    <cfRule type="cellIs" dxfId="95" priority="11" stopIfTrue="1" operator="equal">
      <formula>0.000001</formula>
    </cfRule>
  </conditionalFormatting>
  <conditionalFormatting sqref="L56">
    <cfRule type="cellIs" dxfId="94" priority="10" stopIfTrue="1" operator="equal">
      <formula>0.000001</formula>
    </cfRule>
  </conditionalFormatting>
  <conditionalFormatting sqref="M56:N56">
    <cfRule type="cellIs" dxfId="93" priority="9" stopIfTrue="1" operator="equal">
      <formula>0.000001</formula>
    </cfRule>
  </conditionalFormatting>
  <conditionalFormatting sqref="K51:N53">
    <cfRule type="cellIs" dxfId="92" priority="7" operator="equal">
      <formula>0.0001</formula>
    </cfRule>
    <cfRule type="cellIs" dxfId="91" priority="8" stopIfTrue="1" operator="equal">
      <formula>0.000001</formula>
    </cfRule>
  </conditionalFormatting>
  <conditionalFormatting sqref="J31:N31">
    <cfRule type="cellIs" dxfId="90" priority="6" stopIfTrue="1" operator="equal">
      <formula>0.000001</formula>
    </cfRule>
  </conditionalFormatting>
  <conditionalFormatting sqref="J34:N34">
    <cfRule type="cellIs" dxfId="89" priority="5" stopIfTrue="1" operator="equal">
      <formula>0.000001</formula>
    </cfRule>
  </conditionalFormatting>
  <conditionalFormatting sqref="J54:M54">
    <cfRule type="cellIs" dxfId="88" priority="3" operator="equal">
      <formula>0.0001</formula>
    </cfRule>
    <cfRule type="cellIs" dxfId="87" priority="4" stopIfTrue="1" operator="equal">
      <formula>0.000001</formula>
    </cfRule>
  </conditionalFormatting>
  <conditionalFormatting sqref="N54">
    <cfRule type="cellIs" dxfId="86" priority="1" operator="equal">
      <formula>0.0001</formula>
    </cfRule>
    <cfRule type="cellIs" dxfId="85" priority="2" stopIfTrue="1" operator="equal">
      <formula>0.000001</formula>
    </cfRule>
  </conditionalFormatting>
  <pageMargins left="0.75" right="0.75" top="0.65" bottom="0.65" header="0.5" footer="0.25"/>
  <pageSetup scale="60" orientation="landscape" r:id="rId1"/>
  <headerFooter alignWithMargins="0">
    <oddFooter>&amp;C&amp;8&amp;G&amp;R&amp;8For training purposes only!&amp;L&amp;8COPYRIGHT 2016 © by Training The Street, Inc</oddFooter>
  </headerFooter>
  <drawing r:id="rId2"/>
  <legacyDrawing r:id="rId3"/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83"/>
  <sheetViews>
    <sheetView zoomScaleNormal="100" workbookViewId="0">
      <pane ySplit="21" topLeftCell="A52" activePane="bottomLeft" state="frozen"/>
      <selection activeCell="A76" sqref="A76"/>
      <selection pane="bottomLeft" activeCell="A22" sqref="A22"/>
    </sheetView>
  </sheetViews>
  <sheetFormatPr defaultColWidth="10" defaultRowHeight="13.15" customHeight="1" outlineLevelRow="1" x14ac:dyDescent="0.2"/>
  <cols>
    <col min="1" max="1" width="3" style="214" customWidth="1"/>
    <col min="2" max="3" width="1.7109375" style="105" customWidth="1"/>
    <col min="4" max="14" width="10" style="105" customWidth="1"/>
    <col min="15" max="15" width="1.7109375" style="105" customWidth="1"/>
    <col min="16" max="16" width="10" style="105"/>
    <col min="17" max="17" width="10.85546875" style="105" bestFit="1" customWidth="1"/>
    <col min="18" max="16384" width="10" style="105"/>
  </cols>
  <sheetData>
    <row r="1" spans="1:24" ht="12.75" customHeight="1" outlineLevel="1" x14ac:dyDescent="0.2">
      <c r="A1" s="387"/>
      <c r="B1" s="404" t="str">
        <f ca="1">MID(CELL("filename",B1),FIND("]",CELL("filename",B1))+1,31)&amp;": Forcast Fixed Assets, Intangible Assets and Working Capital"</f>
        <v>Steps 7-10: Forcast Fixed Assets, Intangible Assets and Working Capital</v>
      </c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6"/>
      <c r="Q1" s="395"/>
      <c r="R1" s="404" t="s">
        <v>150</v>
      </c>
      <c r="S1" s="405"/>
      <c r="T1" s="405"/>
      <c r="U1" s="405"/>
      <c r="V1" s="405"/>
      <c r="W1" s="405"/>
      <c r="X1" s="406"/>
    </row>
    <row r="2" spans="1:24" ht="12.75" customHeight="1" outlineLevel="1" x14ac:dyDescent="0.25">
      <c r="A2" s="387"/>
      <c r="B2" s="407"/>
      <c r="C2" s="401"/>
      <c r="D2" s="401"/>
      <c r="E2" s="401"/>
      <c r="F2" s="401"/>
      <c r="G2" s="401"/>
      <c r="H2" s="401"/>
      <c r="I2" s="401"/>
      <c r="J2" s="401"/>
      <c r="K2" s="400"/>
      <c r="L2" s="401"/>
      <c r="M2" s="401"/>
      <c r="N2" s="401"/>
      <c r="O2" s="401"/>
      <c r="P2" s="408"/>
      <c r="Q2" s="395"/>
      <c r="R2" s="565" t="s">
        <v>168</v>
      </c>
      <c r="S2" s="477" t="str">
        <f>ADDRESS(ROW(J42),COLUMN(J42),4)&amp; " = "</f>
        <v xml:space="preserve">J42 = </v>
      </c>
      <c r="T2" s="479" t="str">
        <f>ADDRESS(ROW(J29),COLUMN(J30),4)&amp;" * "&amp; ADDRESS(ROW(J55),COLUMN(J55),4)</f>
        <v>J29 * J55</v>
      </c>
      <c r="U2" s="107"/>
      <c r="V2" s="107" t="str">
        <f>J27&amp;" Capex"</f>
        <v>2016 Capex</v>
      </c>
      <c r="W2" s="107"/>
      <c r="X2" s="476"/>
    </row>
    <row r="3" spans="1:24" ht="12.75" customHeight="1" outlineLevel="1" x14ac:dyDescent="0.2">
      <c r="A3" s="387"/>
      <c r="B3" s="409"/>
      <c r="C3" s="402" t="str">
        <f>"Step "&amp;A35&amp;": Project Capital Expenditures &amp; Depreciation"</f>
        <v>Step 7: Project Capital Expenditures &amp; Depreciation</v>
      </c>
      <c r="D3" s="403"/>
      <c r="E3" s="403"/>
      <c r="F3" s="403"/>
      <c r="G3" s="401"/>
      <c r="H3" s="401"/>
      <c r="I3" s="401"/>
      <c r="J3" s="427" t="str">
        <f>"Step "&amp;RIGHT(A44,1)&amp;": Project future working capital requirements"</f>
        <v>Step 9: Project future working capital requirements</v>
      </c>
      <c r="K3" s="401"/>
      <c r="L3" s="401"/>
      <c r="M3" s="403"/>
      <c r="N3" s="403"/>
      <c r="O3" s="403"/>
      <c r="P3" s="430"/>
      <c r="Q3" s="395"/>
      <c r="R3" s="563"/>
      <c r="S3" s="477" t="str">
        <f>ADDRESS(ROW(J35),COLUMN(J35),4)&amp; " = "</f>
        <v xml:space="preserve">J35 = </v>
      </c>
      <c r="T3" s="107" t="str">
        <f>ADDRESS(ROW(J42),COLUMN(J42),4)&amp;" * "&amp;ADDRESS(ROW(J56),COLUMN(J56),4)</f>
        <v>J42 * J56</v>
      </c>
      <c r="U3" s="107"/>
      <c r="V3" s="107" t="str">
        <f>J27&amp;" Depreciation"</f>
        <v>2016 Depreciation</v>
      </c>
      <c r="W3" s="107"/>
      <c r="X3" s="476"/>
    </row>
    <row r="4" spans="1:24" ht="12.75" customHeight="1" outlineLevel="1" x14ac:dyDescent="0.2">
      <c r="A4" s="387"/>
      <c r="B4" s="410"/>
      <c r="C4" s="401"/>
      <c r="D4" s="429" t="s">
        <v>110</v>
      </c>
      <c r="E4" s="401"/>
      <c r="F4" s="401"/>
      <c r="G4" s="401"/>
      <c r="H4" s="401"/>
      <c r="I4" s="401"/>
      <c r="J4" s="428" t="s">
        <v>118</v>
      </c>
      <c r="K4" s="428"/>
      <c r="L4" s="401"/>
      <c r="M4" s="401"/>
      <c r="N4" s="401"/>
      <c r="O4" s="401"/>
      <c r="P4" s="408"/>
      <c r="Q4" s="395"/>
      <c r="R4" s="562" t="s">
        <v>169</v>
      </c>
      <c r="S4" s="484" t="str">
        <f>ADDRESS(ROW(J43),COLUMN(J43),4)&amp; " = "</f>
        <v xml:space="preserve">J43 = </v>
      </c>
      <c r="T4" s="486" t="str">
        <f>"- "&amp;ADDRESS(ROW(J57),COLUMN(J57),4)</f>
        <v>- J57</v>
      </c>
      <c r="U4" s="486"/>
      <c r="V4" s="486" t="str">
        <f>J27&amp;" Additions to Intangibles"</f>
        <v>2016 Additions to Intangibles</v>
      </c>
      <c r="W4" s="486"/>
      <c r="X4" s="483"/>
    </row>
    <row r="5" spans="1:24" ht="12.75" customHeight="1" outlineLevel="1" x14ac:dyDescent="0.25">
      <c r="A5" s="387"/>
      <c r="B5" s="407"/>
      <c r="C5" s="401"/>
      <c r="D5" s="428" t="s">
        <v>116</v>
      </c>
      <c r="E5" s="401"/>
      <c r="F5" s="401"/>
      <c r="G5" s="401"/>
      <c r="H5" s="401"/>
      <c r="I5" s="401"/>
      <c r="J5" s="446" t="s">
        <v>119</v>
      </c>
      <c r="K5" s="400"/>
      <c r="L5" s="401"/>
      <c r="M5" s="401"/>
      <c r="N5" s="401"/>
      <c r="O5" s="401"/>
      <c r="P5" s="408"/>
      <c r="Q5" s="395"/>
      <c r="R5" s="563"/>
      <c r="S5" s="484" t="str">
        <f>ADDRESS(ROW(J36),COLUMN(J36),4)&amp; " = "</f>
        <v xml:space="preserve">J36 = </v>
      </c>
      <c r="T5" s="486" t="str">
        <f>"- "&amp;ADDRESS(ROW(J58),COLUMN(J58),4)</f>
        <v>- J58</v>
      </c>
      <c r="U5" s="486"/>
      <c r="V5" s="486" t="str">
        <f>J27&amp;" Amortization"</f>
        <v>2016 Amortization</v>
      </c>
      <c r="W5" s="486"/>
      <c r="X5" s="483"/>
    </row>
    <row r="6" spans="1:24" ht="12.75" customHeight="1" outlineLevel="1" x14ac:dyDescent="0.25">
      <c r="A6" s="387"/>
      <c r="B6" s="407"/>
      <c r="C6" s="401"/>
      <c r="D6" s="398" t="s">
        <v>111</v>
      </c>
      <c r="E6" s="401"/>
      <c r="F6" s="401"/>
      <c r="G6" s="401"/>
      <c r="H6" s="401"/>
      <c r="I6" s="401"/>
      <c r="J6" s="401"/>
      <c r="K6" s="400"/>
      <c r="L6" s="401"/>
      <c r="M6" s="401"/>
      <c r="N6" s="401"/>
      <c r="O6" s="401"/>
      <c r="P6" s="408"/>
      <c r="Q6" s="395"/>
      <c r="R6" s="563"/>
      <c r="S6" s="484" t="str">
        <f>ADDRESS(ROW(J41),COLUMN(J41),4)&amp; " = "</f>
        <v xml:space="preserve">J41 = </v>
      </c>
      <c r="T6" s="486" t="str">
        <f>"-("&amp;ADDRESS(ROW(J35),COLUMN(J35),4)&amp;" + "&amp;ADDRESS(ROW(J36),COLUMN(J36),4)&amp;")"</f>
        <v>-(J35 + J36)</v>
      </c>
      <c r="U6" s="486"/>
      <c r="V6" s="486" t="str">
        <f>J27&amp;" Depreciation &amp; Amortization"</f>
        <v>2016 Depreciation &amp; Amortization</v>
      </c>
      <c r="W6" s="486"/>
      <c r="X6" s="483"/>
    </row>
    <row r="7" spans="1:24" ht="12.75" customHeight="1" outlineLevel="1" x14ac:dyDescent="0.25">
      <c r="A7" s="387"/>
      <c r="B7" s="407"/>
      <c r="C7" s="401"/>
      <c r="D7" s="428" t="s">
        <v>112</v>
      </c>
      <c r="E7" s="401"/>
      <c r="F7" s="401"/>
      <c r="G7" s="401"/>
      <c r="H7" s="401"/>
      <c r="I7" s="401"/>
      <c r="J7" s="427" t="str">
        <f>"Step "&amp;A45&amp;": Calculate Unlevered Free Cash Flow"</f>
        <v>Step 10: Calculate Unlevered Free Cash Flow</v>
      </c>
      <c r="K7" s="400"/>
      <c r="L7" s="401"/>
      <c r="M7" s="401"/>
      <c r="N7" s="401"/>
      <c r="O7" s="401"/>
      <c r="P7" s="408"/>
      <c r="Q7" s="395"/>
      <c r="R7" s="538" t="s">
        <v>170</v>
      </c>
      <c r="S7" s="477" t="str">
        <f>ADDRESS(ROW(J44),COLUMN(J44),4)&amp; " = "</f>
        <v xml:space="preserve">J44 = </v>
      </c>
      <c r="T7" s="107" t="str">
        <f>ADDRESS(ROW(J29),COLUMN(J29),4)&amp;" * "&amp;ADDRESS(ROW(J59),COLUMN(J59),4)</f>
        <v>J29 * J59</v>
      </c>
      <c r="U7" s="107"/>
      <c r="V7" s="107" t="str">
        <f>J27&amp;" Change in Working Capital"</f>
        <v>2016 Change in Working Capital</v>
      </c>
      <c r="W7" s="107"/>
      <c r="X7" s="476"/>
    </row>
    <row r="8" spans="1:24" ht="12.75" customHeight="1" outlineLevel="1" x14ac:dyDescent="0.25">
      <c r="A8" s="387"/>
      <c r="B8" s="407"/>
      <c r="C8" s="401"/>
      <c r="D8" s="445" t="s">
        <v>113</v>
      </c>
      <c r="E8" s="401"/>
      <c r="F8" s="401"/>
      <c r="G8" s="401"/>
      <c r="H8" s="401"/>
      <c r="I8" s="401"/>
      <c r="J8" s="428" t="s">
        <v>120</v>
      </c>
      <c r="K8" s="400"/>
      <c r="L8" s="401"/>
      <c r="M8" s="401"/>
      <c r="N8" s="401"/>
      <c r="O8" s="401"/>
      <c r="P8" s="408"/>
      <c r="Q8" s="395"/>
      <c r="R8" s="562" t="s">
        <v>171</v>
      </c>
      <c r="S8" s="484" t="str">
        <f>ADDRESS(ROW(J37),COLUMN(J37),4)&amp; " = "</f>
        <v xml:space="preserve">J37 = </v>
      </c>
      <c r="T8" s="486" t="str">
        <f>"SUM("&amp;ADDRESS(ROW(J34),COLUMN(J34),4)&amp;":"&amp;ADDRESS(ROW(J36),COLUMN(J36),4)&amp;")"</f>
        <v>SUM(J34:J36)</v>
      </c>
      <c r="U8" s="486"/>
      <c r="V8" s="487" t="s">
        <v>38</v>
      </c>
      <c r="W8" s="486"/>
      <c r="X8" s="483"/>
    </row>
    <row r="9" spans="1:24" ht="12.75" customHeight="1" outlineLevel="1" x14ac:dyDescent="0.25">
      <c r="A9" s="387"/>
      <c r="B9" s="407"/>
      <c r="C9" s="401"/>
      <c r="D9" s="356" t="s">
        <v>114</v>
      </c>
      <c r="E9" s="401"/>
      <c r="F9" s="401"/>
      <c r="G9" s="401"/>
      <c r="H9" s="401"/>
      <c r="I9" s="401"/>
      <c r="J9" s="428" t="s">
        <v>121</v>
      </c>
      <c r="K9" s="401"/>
      <c r="L9" s="401"/>
      <c r="M9" s="401"/>
      <c r="N9" s="401"/>
      <c r="O9" s="401"/>
      <c r="P9" s="408"/>
      <c r="Q9" s="395"/>
      <c r="R9" s="563"/>
      <c r="S9" s="484" t="str">
        <f>ADDRESS(ROW(J38),COLUMN(J38),4)&amp; " = "</f>
        <v xml:space="preserve">J38 = </v>
      </c>
      <c r="T9" s="486" t="str">
        <f>"-"&amp;ADDRESS(ROW(J37),COLUMN(J37),4)&amp;" * $"&amp;ADDRESS(ROW(E38),COLUMN(E38),4)</f>
        <v>-J37 * $E38</v>
      </c>
      <c r="U9" s="486"/>
      <c r="V9" s="487" t="s">
        <v>154</v>
      </c>
      <c r="W9" s="486"/>
      <c r="X9" s="483"/>
    </row>
    <row r="10" spans="1:24" ht="12.75" customHeight="1" outlineLevel="1" x14ac:dyDescent="0.25">
      <c r="A10" s="387"/>
      <c r="B10" s="407"/>
      <c r="C10" s="401"/>
      <c r="D10" s="428" t="s">
        <v>115</v>
      </c>
      <c r="E10" s="401"/>
      <c r="F10" s="401"/>
      <c r="G10" s="401"/>
      <c r="H10" s="401"/>
      <c r="I10" s="401"/>
      <c r="J10" s="428" t="s">
        <v>122</v>
      </c>
      <c r="K10" s="428"/>
      <c r="L10" s="401"/>
      <c r="M10" s="401"/>
      <c r="N10" s="401"/>
      <c r="O10" s="401"/>
      <c r="P10" s="408"/>
      <c r="Q10" s="395"/>
      <c r="R10" s="563"/>
      <c r="S10" s="484" t="str">
        <f>ADDRESS(ROW(J39),COLUMN(J39),4)&amp; " = "</f>
        <v xml:space="preserve">J39 = </v>
      </c>
      <c r="T10" s="486" t="str">
        <f>"SUM("&amp;ADDRESS(ROW(J37),COLUMN(J37),4)&amp;":"&amp;ADDRESS(ROW(J38),COLUMN(J38),4)&amp;")"</f>
        <v>SUM(J37:J38)</v>
      </c>
      <c r="U10" s="486"/>
      <c r="V10" s="487" t="s">
        <v>40</v>
      </c>
      <c r="W10" s="486"/>
      <c r="X10" s="483"/>
    </row>
    <row r="11" spans="1:24" ht="12.75" customHeight="1" outlineLevel="1" x14ac:dyDescent="0.25">
      <c r="A11" s="387"/>
      <c r="B11" s="407"/>
      <c r="C11" s="401"/>
      <c r="D11" s="429" t="s">
        <v>185</v>
      </c>
      <c r="E11" s="401"/>
      <c r="F11" s="401"/>
      <c r="G11" s="401"/>
      <c r="H11" s="401"/>
      <c r="I11" s="401"/>
      <c r="J11" s="356" t="s">
        <v>123</v>
      </c>
      <c r="K11" s="356"/>
      <c r="L11" s="401"/>
      <c r="M11" s="401"/>
      <c r="N11" s="401"/>
      <c r="O11" s="401"/>
      <c r="P11" s="408"/>
      <c r="Q11" s="395"/>
      <c r="R11" s="563"/>
      <c r="S11" s="484" t="str">
        <f>ADDRESS(ROW(J45),COLUMN(J45),4)&amp; " = "</f>
        <v xml:space="preserve">J45 = </v>
      </c>
      <c r="T11" s="486" t="str">
        <f>"SUM("&amp;ADDRESS(ROW(J39),COLUMN(J39),4)&amp;":"&amp;ADDRESS(ROW(J44),COLUMN(J44),4)&amp;")"</f>
        <v>SUM(J39:J44)</v>
      </c>
      <c r="U11" s="486"/>
      <c r="V11" s="487" t="s">
        <v>155</v>
      </c>
      <c r="W11" s="486"/>
      <c r="X11" s="483"/>
    </row>
    <row r="12" spans="1:24" ht="12.75" customHeight="1" outlineLevel="1" x14ac:dyDescent="0.25">
      <c r="A12" s="387"/>
      <c r="B12" s="407"/>
      <c r="C12" s="401"/>
      <c r="D12" s="398"/>
      <c r="E12" s="401"/>
      <c r="F12" s="401"/>
      <c r="G12" s="401"/>
      <c r="H12" s="401"/>
      <c r="I12" s="401"/>
      <c r="J12" s="356" t="s">
        <v>124</v>
      </c>
      <c r="K12" s="429"/>
      <c r="L12" s="466" t="s">
        <v>199</v>
      </c>
      <c r="M12" s="401"/>
      <c r="N12" s="401"/>
      <c r="O12" s="401"/>
      <c r="P12" s="408"/>
      <c r="Q12" s="395"/>
      <c r="R12" s="564"/>
      <c r="S12" s="489" t="str">
        <f>ADDRESS(ROW(P29),COLUMN(P29),4)&amp; " = "</f>
        <v xml:space="preserve">P29 = </v>
      </c>
      <c r="T12" s="490" t="str">
        <f>"RATE(5,0,-"&amp;ADDRESS(ROW(I29),COLUMN(I29),4)&amp;","&amp;ADDRESS(ROW(N29),COLUMN(N29),4)&amp;")"</f>
        <v>RATE(5,0,-I29,N29)</v>
      </c>
      <c r="U12" s="490"/>
      <c r="V12" s="490" t="str">
        <f>P25&amp;" Sales CAGR"</f>
        <v>2015 - 2020 Sales CAGR</v>
      </c>
      <c r="W12" s="490"/>
      <c r="X12" s="488"/>
    </row>
    <row r="13" spans="1:24" ht="12.75" customHeight="1" outlineLevel="1" x14ac:dyDescent="0.25">
      <c r="A13" s="387"/>
      <c r="B13" s="407"/>
      <c r="C13" s="427" t="str">
        <f>"Step "&amp;A43&amp;": Project Additions to Intangibles &amp; Amortization"</f>
        <v>Step 8: Project Additions to Intangibles &amp; Amortization</v>
      </c>
      <c r="D13" s="401"/>
      <c r="E13" s="401"/>
      <c r="F13" s="401"/>
      <c r="G13" s="401"/>
      <c r="H13" s="401"/>
      <c r="I13" s="401"/>
      <c r="J13" s="428" t="s">
        <v>125</v>
      </c>
      <c r="K13" s="429"/>
      <c r="L13" s="546"/>
      <c r="M13" s="401"/>
      <c r="N13" s="401"/>
      <c r="O13" s="401"/>
      <c r="P13" s="408"/>
      <c r="Q13" s="395"/>
    </row>
    <row r="14" spans="1:24" ht="12.75" customHeight="1" outlineLevel="1" x14ac:dyDescent="0.25">
      <c r="A14" s="387"/>
      <c r="B14" s="407"/>
      <c r="C14" s="428" t="s">
        <v>117</v>
      </c>
      <c r="D14" s="428"/>
      <c r="E14" s="401"/>
      <c r="F14" s="401"/>
      <c r="G14" s="401"/>
      <c r="H14" s="401"/>
      <c r="I14" s="401"/>
      <c r="J14" s="446"/>
      <c r="K14" s="429"/>
      <c r="L14" s="401"/>
      <c r="M14" s="401"/>
      <c r="N14" s="401"/>
      <c r="O14" s="401"/>
      <c r="P14" s="408"/>
      <c r="Q14" s="395"/>
    </row>
    <row r="15" spans="1:24" ht="12.75" customHeight="1" outlineLevel="1" x14ac:dyDescent="0.25">
      <c r="A15" s="387"/>
      <c r="B15" s="407"/>
      <c r="C15" s="428" t="s">
        <v>118</v>
      </c>
      <c r="D15" s="428"/>
      <c r="E15" s="401"/>
      <c r="F15" s="401"/>
      <c r="G15" s="401"/>
      <c r="H15" s="401"/>
      <c r="I15" s="401"/>
      <c r="J15" s="446"/>
      <c r="K15" s="429"/>
      <c r="L15" s="401"/>
      <c r="M15" s="401"/>
      <c r="N15" s="401"/>
      <c r="O15" s="401"/>
      <c r="P15" s="408"/>
      <c r="Q15" s="395"/>
    </row>
    <row r="16" spans="1:24" ht="12.75" customHeight="1" outlineLevel="1" x14ac:dyDescent="0.25">
      <c r="A16" s="387"/>
      <c r="B16" s="407"/>
      <c r="C16" s="446" t="s">
        <v>119</v>
      </c>
      <c r="D16" s="356"/>
      <c r="E16" s="401"/>
      <c r="F16" s="401"/>
      <c r="G16" s="401"/>
      <c r="H16" s="401"/>
      <c r="I16" s="401"/>
      <c r="J16" s="446"/>
      <c r="K16" s="429"/>
      <c r="L16" s="401"/>
      <c r="M16" s="401"/>
      <c r="N16" s="401"/>
      <c r="O16" s="401"/>
      <c r="P16" s="408"/>
      <c r="Q16" s="395"/>
    </row>
    <row r="17" spans="1:18" ht="12.75" customHeight="1" outlineLevel="1" x14ac:dyDescent="0.25">
      <c r="A17" s="387"/>
      <c r="B17" s="407"/>
      <c r="C17" s="447" t="s">
        <v>186</v>
      </c>
      <c r="D17" s="401"/>
      <c r="E17" s="401"/>
      <c r="F17" s="401"/>
      <c r="G17" s="401"/>
      <c r="H17" s="401"/>
      <c r="I17" s="401"/>
      <c r="J17" s="446"/>
      <c r="K17" s="429"/>
      <c r="L17" s="401"/>
      <c r="M17" s="401"/>
      <c r="N17" s="401"/>
      <c r="O17" s="401"/>
      <c r="P17" s="408"/>
      <c r="Q17" s="395"/>
    </row>
    <row r="18" spans="1:18" ht="12.75" customHeight="1" outlineLevel="1" x14ac:dyDescent="0.25">
      <c r="A18" s="387"/>
      <c r="B18" s="407"/>
      <c r="C18" s="447" t="s">
        <v>187</v>
      </c>
      <c r="D18" s="401"/>
      <c r="E18" s="401"/>
      <c r="F18" s="401"/>
      <c r="G18" s="401"/>
      <c r="H18" s="401"/>
      <c r="I18" s="401"/>
      <c r="J18" s="446"/>
      <c r="K18" s="429"/>
      <c r="L18" s="401"/>
      <c r="M18" s="401"/>
      <c r="N18" s="401"/>
      <c r="O18" s="401"/>
      <c r="P18" s="408"/>
      <c r="Q18" s="395"/>
    </row>
    <row r="19" spans="1:18" ht="12.75" customHeight="1" outlineLevel="1" x14ac:dyDescent="0.25">
      <c r="A19" s="387"/>
      <c r="B19" s="411"/>
      <c r="C19" s="412"/>
      <c r="D19" s="412"/>
      <c r="E19" s="412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3"/>
      <c r="Q19" s="395"/>
      <c r="R19" s="387"/>
    </row>
    <row r="20" spans="1:18" ht="12.75" customHeight="1" x14ac:dyDescent="0.25">
      <c r="A20" s="387"/>
      <c r="B20" s="396"/>
      <c r="F20" s="387"/>
      <c r="G20" s="387"/>
      <c r="H20" s="387"/>
      <c r="I20" s="387"/>
      <c r="J20" s="387"/>
      <c r="K20" s="387"/>
      <c r="L20" s="387"/>
      <c r="M20" s="387"/>
      <c r="N20" s="387"/>
      <c r="O20" s="387"/>
      <c r="P20" s="387"/>
      <c r="Q20" s="395"/>
      <c r="R20" s="387"/>
    </row>
    <row r="21" spans="1:18" s="113" customFormat="1" ht="12.75" hidden="1" customHeight="1" x14ac:dyDescent="0.2">
      <c r="A21" s="112"/>
    </row>
    <row r="22" spans="1:18" s="116" customFormat="1" ht="18.75" thickBot="1" x14ac:dyDescent="0.3">
      <c r="A22" s="112"/>
      <c r="B22" s="239" t="str">
        <f>"Discounted Cash Flow Analysis for "&amp;Company</f>
        <v>Discounted Cash Flow Analysis for Sample Company</v>
      </c>
      <c r="C22" s="114"/>
      <c r="D22" s="115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</row>
    <row r="23" spans="1:18" s="116" customFormat="1" ht="13.15" customHeight="1" x14ac:dyDescent="0.2">
      <c r="A23" s="112"/>
      <c r="B23" s="243" t="str">
        <f>Subheader</f>
        <v>Dollars in millions, except per share</v>
      </c>
      <c r="C23" s="117"/>
      <c r="D23" s="118"/>
      <c r="E23" s="119"/>
      <c r="F23" s="119"/>
      <c r="G23" s="119"/>
      <c r="H23" s="119"/>
      <c r="I23" s="119"/>
      <c r="J23" s="119"/>
      <c r="K23" s="119"/>
      <c r="L23" s="119"/>
      <c r="M23" s="120"/>
      <c r="N23" s="119"/>
      <c r="O23" s="119"/>
      <c r="P23" s="119"/>
    </row>
    <row r="24" spans="1:18" s="116" customFormat="1" ht="12.75" customHeight="1" x14ac:dyDescent="0.2">
      <c r="A24" s="112"/>
      <c r="B24" s="121"/>
      <c r="C24" s="122"/>
      <c r="D24" s="123"/>
      <c r="E24" s="114"/>
      <c r="F24" s="114"/>
      <c r="G24" s="114"/>
      <c r="H24" s="114"/>
      <c r="I24" s="114"/>
      <c r="J24" s="114"/>
      <c r="K24" s="114"/>
      <c r="L24" s="114"/>
      <c r="N24" s="114"/>
    </row>
    <row r="25" spans="1:18" s="116" customFormat="1" ht="12.75" customHeight="1" x14ac:dyDescent="0.2">
      <c r="A25" s="112"/>
      <c r="B25" s="121"/>
      <c r="C25" s="122"/>
      <c r="D25" s="123"/>
      <c r="E25" s="114"/>
      <c r="F25" s="114"/>
      <c r="G25" s="242"/>
      <c r="H25" s="242"/>
      <c r="I25" s="242"/>
      <c r="J25" s="242"/>
      <c r="K25" s="242"/>
      <c r="L25" s="242"/>
      <c r="M25" s="242"/>
      <c r="N25" s="242"/>
      <c r="O25" s="242"/>
      <c r="P25" s="251" t="str">
        <f>I27&amp;" - "&amp;N27</f>
        <v>2015 - 2020</v>
      </c>
    </row>
    <row r="26" spans="1:18" s="113" customFormat="1" ht="12.75" customHeight="1" x14ac:dyDescent="0.2">
      <c r="A26" s="112"/>
      <c r="G26" s="252" t="s">
        <v>28</v>
      </c>
      <c r="H26" s="253"/>
      <c r="I26" s="254"/>
      <c r="J26" s="252" t="s">
        <v>29</v>
      </c>
      <c r="K26" s="255"/>
      <c r="L26" s="255"/>
      <c r="M26" s="255"/>
      <c r="N26" s="256"/>
      <c r="O26" s="238"/>
      <c r="P26" s="257" t="s">
        <v>30</v>
      </c>
    </row>
    <row r="27" spans="1:18" s="113" customFormat="1" ht="12.75" customHeight="1" x14ac:dyDescent="0.2">
      <c r="A27" s="112"/>
      <c r="G27" s="379">
        <f>H27-1</f>
        <v>2013</v>
      </c>
      <c r="H27" s="379">
        <f>I27-1</f>
        <v>2014</v>
      </c>
      <c r="I27" s="380">
        <f>YEAR(FYE)</f>
        <v>2015</v>
      </c>
      <c r="J27" s="379">
        <f t="shared" ref="J27:N27" si="0">I27+1</f>
        <v>2016</v>
      </c>
      <c r="K27" s="379">
        <f t="shared" si="0"/>
        <v>2017</v>
      </c>
      <c r="L27" s="379">
        <f t="shared" si="0"/>
        <v>2018</v>
      </c>
      <c r="M27" s="379">
        <f t="shared" si="0"/>
        <v>2019</v>
      </c>
      <c r="N27" s="379">
        <f t="shared" si="0"/>
        <v>2020</v>
      </c>
      <c r="O27" s="238"/>
      <c r="P27" s="238"/>
    </row>
    <row r="28" spans="1:18" s="113" customFormat="1" ht="12.75" customHeight="1" x14ac:dyDescent="0.2">
      <c r="A28" s="112"/>
      <c r="I28" s="116"/>
      <c r="P28" s="116"/>
    </row>
    <row r="29" spans="1:18" s="113" customFormat="1" ht="13.15" customHeight="1" x14ac:dyDescent="0.2">
      <c r="A29" s="354"/>
      <c r="B29" s="131" t="s">
        <v>31</v>
      </c>
      <c r="C29" s="131"/>
      <c r="D29" s="131"/>
      <c r="G29" s="132">
        <v>4666</v>
      </c>
      <c r="H29" s="132">
        <v>4791.8999999999996</v>
      </c>
      <c r="I29" s="132">
        <v>4988.1000000000004</v>
      </c>
      <c r="J29" s="133">
        <f t="shared" ref="J29:N29" si="1">I29*(1+J51)</f>
        <v>5187.6240000000007</v>
      </c>
      <c r="K29" s="133">
        <f t="shared" si="1"/>
        <v>5395.1289600000009</v>
      </c>
      <c r="L29" s="133">
        <f t="shared" si="1"/>
        <v>5610.9341184000014</v>
      </c>
      <c r="M29" s="133">
        <f t="shared" si="1"/>
        <v>5835.3714831360012</v>
      </c>
      <c r="N29" s="133">
        <f t="shared" si="1"/>
        <v>6068.7863424614416</v>
      </c>
      <c r="O29" s="116"/>
      <c r="P29" s="495">
        <v>9.9999999999999995E-7</v>
      </c>
      <c r="Q29" s="116"/>
    </row>
    <row r="30" spans="1:18" s="113" customFormat="1" ht="13.15" customHeight="1" x14ac:dyDescent="0.2">
      <c r="A30" s="112"/>
      <c r="B30" s="131" t="s">
        <v>32</v>
      </c>
      <c r="C30" s="131"/>
      <c r="D30" s="131"/>
      <c r="G30" s="135">
        <v>3498.8</v>
      </c>
      <c r="H30" s="135">
        <v>3767.7</v>
      </c>
      <c r="I30" s="135">
        <v>3893.1</v>
      </c>
      <c r="J30" s="136">
        <f t="shared" ref="J30:N30" si="2">J29*J52</f>
        <v>4046.3467200000009</v>
      </c>
      <c r="K30" s="136">
        <f t="shared" si="2"/>
        <v>4202.8054598400013</v>
      </c>
      <c r="L30" s="136">
        <f t="shared" si="2"/>
        <v>4365.3067441152016</v>
      </c>
      <c r="M30" s="136">
        <f t="shared" si="2"/>
        <v>4534.083642396673</v>
      </c>
      <c r="N30" s="136">
        <f t="shared" si="2"/>
        <v>4709.3782017500789</v>
      </c>
      <c r="O30" s="116"/>
      <c r="P30" s="134"/>
      <c r="Q30" s="116"/>
    </row>
    <row r="31" spans="1:18" s="113" customFormat="1" ht="13.15" customHeight="1" x14ac:dyDescent="0.2">
      <c r="A31" s="112"/>
      <c r="B31" s="131" t="s">
        <v>33</v>
      </c>
      <c r="D31" s="131"/>
      <c r="G31" s="137">
        <f t="shared" ref="G31:N31" si="3">G29-G30</f>
        <v>1167.1999999999998</v>
      </c>
      <c r="H31" s="137">
        <f t="shared" si="3"/>
        <v>1024.1999999999998</v>
      </c>
      <c r="I31" s="137">
        <f t="shared" si="3"/>
        <v>1095.0000000000005</v>
      </c>
      <c r="J31" s="137">
        <f t="shared" si="3"/>
        <v>1141.2772799999998</v>
      </c>
      <c r="K31" s="137">
        <f t="shared" si="3"/>
        <v>1192.3235001599996</v>
      </c>
      <c r="L31" s="137">
        <f t="shared" si="3"/>
        <v>1245.6273742847998</v>
      </c>
      <c r="M31" s="137">
        <f t="shared" si="3"/>
        <v>1301.2878407393282</v>
      </c>
      <c r="N31" s="137">
        <f t="shared" si="3"/>
        <v>1359.4081407113626</v>
      </c>
      <c r="O31" s="116"/>
      <c r="P31" s="495">
        <v>9.9999999999999995E-7</v>
      </c>
      <c r="Q31" s="116"/>
    </row>
    <row r="32" spans="1:18" s="113" customFormat="1" ht="6.4" customHeight="1" x14ac:dyDescent="0.2">
      <c r="A32" s="112"/>
      <c r="G32" s="138"/>
      <c r="H32" s="138"/>
      <c r="I32" s="138"/>
      <c r="J32" s="136"/>
      <c r="K32" s="136"/>
      <c r="L32" s="136"/>
      <c r="M32" s="136"/>
      <c r="N32" s="136"/>
      <c r="O32" s="116"/>
      <c r="P32" s="139"/>
      <c r="Q32" s="116"/>
    </row>
    <row r="33" spans="1:20" s="113" customFormat="1" ht="13.15" customHeight="1" x14ac:dyDescent="0.2">
      <c r="A33" s="112"/>
      <c r="B33" s="131" t="s">
        <v>34</v>
      </c>
      <c r="C33" s="131"/>
      <c r="D33" s="131"/>
      <c r="G33" s="135">
        <v>316</v>
      </c>
      <c r="H33" s="135">
        <v>306.10000000000002</v>
      </c>
      <c r="I33" s="135">
        <v>280.3</v>
      </c>
      <c r="J33" s="136">
        <f t="shared" ref="J33:N33" si="4">J29*J53</f>
        <v>290.50694400000003</v>
      </c>
      <c r="K33" s="136">
        <f t="shared" si="4"/>
        <v>302.12722176000005</v>
      </c>
      <c r="L33" s="136">
        <f t="shared" si="4"/>
        <v>314.21231063040005</v>
      </c>
      <c r="M33" s="136">
        <f t="shared" si="4"/>
        <v>326.78080305561605</v>
      </c>
      <c r="N33" s="136">
        <f t="shared" si="4"/>
        <v>339.85203517784072</v>
      </c>
      <c r="O33" s="116"/>
      <c r="P33" s="134"/>
      <c r="Q33" s="116"/>
      <c r="R33"/>
      <c r="S33"/>
      <c r="T33"/>
    </row>
    <row r="34" spans="1:20" s="113" customFormat="1" ht="13.15" customHeight="1" x14ac:dyDescent="0.2">
      <c r="A34" s="112"/>
      <c r="B34" s="131" t="s">
        <v>35</v>
      </c>
      <c r="C34" s="131"/>
      <c r="D34" s="131"/>
      <c r="G34" s="137">
        <f t="shared" ref="G34:N34" si="5">G31-G33</f>
        <v>851.19999999999982</v>
      </c>
      <c r="H34" s="137">
        <f t="shared" si="5"/>
        <v>718.0999999999998</v>
      </c>
      <c r="I34" s="137">
        <f t="shared" si="5"/>
        <v>814.7000000000005</v>
      </c>
      <c r="J34" s="137">
        <f t="shared" si="5"/>
        <v>850.77033599999982</v>
      </c>
      <c r="K34" s="137">
        <f t="shared" si="5"/>
        <v>890.19627839999953</v>
      </c>
      <c r="L34" s="137">
        <f t="shared" si="5"/>
        <v>931.41506365439977</v>
      </c>
      <c r="M34" s="137">
        <f t="shared" si="5"/>
        <v>974.50703768371216</v>
      </c>
      <c r="N34" s="137">
        <f t="shared" si="5"/>
        <v>1019.556105533522</v>
      </c>
      <c r="O34" s="116"/>
      <c r="P34" s="495">
        <v>9.9999999999999995E-7</v>
      </c>
      <c r="Q34" s="116"/>
      <c r="R34"/>
      <c r="S34"/>
      <c r="T34"/>
    </row>
    <row r="35" spans="1:20" s="113" customFormat="1" ht="13.15" customHeight="1" x14ac:dyDescent="0.2">
      <c r="A35" s="444">
        <v>7</v>
      </c>
      <c r="B35" s="131" t="s">
        <v>36</v>
      </c>
      <c r="C35" s="131"/>
      <c r="D35" s="131"/>
      <c r="G35" s="135">
        <v>-85</v>
      </c>
      <c r="H35" s="135">
        <v>-90</v>
      </c>
      <c r="I35" s="135">
        <v>-115.1</v>
      </c>
      <c r="J35" s="136">
        <v>9.9999999999999995E-7</v>
      </c>
      <c r="K35" s="136">
        <v>9.9999999999999995E-7</v>
      </c>
      <c r="L35" s="136">
        <v>9.9999999999999995E-7</v>
      </c>
      <c r="M35" s="136">
        <v>9.9999999999999995E-7</v>
      </c>
      <c r="N35" s="136">
        <v>9.9999999999999995E-7</v>
      </c>
      <c r="O35" s="116"/>
      <c r="P35" s="134"/>
      <c r="Q35" s="116"/>
      <c r="R35"/>
      <c r="S35"/>
      <c r="T35"/>
    </row>
    <row r="36" spans="1:20" s="113" customFormat="1" ht="13.15" customHeight="1" x14ac:dyDescent="0.2">
      <c r="A36" s="444">
        <v>8</v>
      </c>
      <c r="B36" s="131" t="s">
        <v>37</v>
      </c>
      <c r="C36" s="131"/>
      <c r="D36" s="131"/>
      <c r="G36" s="135">
        <v>-0.5</v>
      </c>
      <c r="H36" s="135">
        <v>-1.9</v>
      </c>
      <c r="I36" s="135">
        <v>-3.4</v>
      </c>
      <c r="J36" s="136">
        <v>9.9999999999999995E-7</v>
      </c>
      <c r="K36" s="136">
        <v>9.9999999999999995E-7</v>
      </c>
      <c r="L36" s="136">
        <v>9.9999999999999995E-7</v>
      </c>
      <c r="M36" s="136">
        <v>9.9999999999999995E-7</v>
      </c>
      <c r="N36" s="136">
        <v>9.9999999999999995E-7</v>
      </c>
      <c r="O36" s="116"/>
      <c r="P36" s="134"/>
      <c r="Q36" s="116"/>
      <c r="R36"/>
      <c r="S36"/>
      <c r="T36"/>
    </row>
    <row r="37" spans="1:20" s="113" customFormat="1" ht="13.15" customHeight="1" x14ac:dyDescent="0.2">
      <c r="A37" s="444">
        <v>10</v>
      </c>
      <c r="B37" s="131" t="s">
        <v>38</v>
      </c>
      <c r="C37" s="131"/>
      <c r="D37" s="131"/>
      <c r="F37" s="138"/>
      <c r="G37" s="137">
        <f>SUM(G34:G36)</f>
        <v>765.69999999999982</v>
      </c>
      <c r="H37" s="439">
        <f t="shared" ref="H37:I37" si="6">SUM(H34:H36)</f>
        <v>626.19999999999982</v>
      </c>
      <c r="I37" s="137">
        <f t="shared" si="6"/>
        <v>696.2000000000005</v>
      </c>
      <c r="J37" s="449">
        <v>9.9999999999999995E-7</v>
      </c>
      <c r="K37" s="449">
        <v>9.9999999999999995E-7</v>
      </c>
      <c r="L37" s="449">
        <v>9.9999999999999995E-7</v>
      </c>
      <c r="M37" s="449">
        <v>9.9999999999999995E-7</v>
      </c>
      <c r="N37" s="459">
        <v>9.9999999999999995E-7</v>
      </c>
      <c r="O37" s="442"/>
      <c r="P37" s="495">
        <v>9.9999999999999995E-7</v>
      </c>
      <c r="Q37" s="116"/>
      <c r="R37"/>
      <c r="S37"/>
      <c r="T37"/>
    </row>
    <row r="38" spans="1:20" s="113" customFormat="1" ht="13.15" customHeight="1" x14ac:dyDescent="0.2">
      <c r="A38" s="444">
        <v>10</v>
      </c>
      <c r="B38" s="131" t="s">
        <v>39</v>
      </c>
      <c r="C38" s="131"/>
      <c r="D38" s="131"/>
      <c r="E38" s="142">
        <v>0.38</v>
      </c>
      <c r="G38" s="136">
        <f t="shared" ref="G38:I38" si="7">-G37*$E$38</f>
        <v>-290.96599999999995</v>
      </c>
      <c r="H38" s="448">
        <f t="shared" si="7"/>
        <v>-237.95599999999993</v>
      </c>
      <c r="I38" s="136">
        <f t="shared" si="7"/>
        <v>-264.55600000000021</v>
      </c>
      <c r="J38" s="136">
        <v>9.9999999999999995E-7</v>
      </c>
      <c r="K38" s="136">
        <v>9.9999999999999995E-7</v>
      </c>
      <c r="L38" s="136">
        <v>9.9999999999999995E-7</v>
      </c>
      <c r="M38" s="136">
        <v>9.9999999999999995E-7</v>
      </c>
      <c r="N38" s="136">
        <v>9.9999999999999995E-7</v>
      </c>
      <c r="O38" s="442"/>
      <c r="P38" s="139"/>
      <c r="Q38" s="116"/>
      <c r="R38" s="116"/>
    </row>
    <row r="39" spans="1:20" s="113" customFormat="1" ht="13.15" customHeight="1" x14ac:dyDescent="0.2">
      <c r="A39" s="444">
        <v>10</v>
      </c>
      <c r="B39" s="131" t="s">
        <v>40</v>
      </c>
      <c r="C39" s="131"/>
      <c r="D39" s="131"/>
      <c r="G39" s="137">
        <f>SUM(G37:G38)</f>
        <v>474.73399999999987</v>
      </c>
      <c r="H39" s="439">
        <f t="shared" ref="H39:I39" si="8">SUM(H37:H38)</f>
        <v>388.24399999999991</v>
      </c>
      <c r="I39" s="137">
        <f t="shared" si="8"/>
        <v>431.64400000000029</v>
      </c>
      <c r="J39" s="136">
        <v>9.9999999999999995E-7</v>
      </c>
      <c r="K39" s="136">
        <v>9.9999999999999995E-7</v>
      </c>
      <c r="L39" s="136">
        <v>9.9999999999999995E-7</v>
      </c>
      <c r="M39" s="136">
        <v>9.9999999999999995E-7</v>
      </c>
      <c r="N39" s="136">
        <v>9.9999999999999995E-7</v>
      </c>
      <c r="O39" s="442"/>
      <c r="P39" s="495">
        <v>9.9999999999999995E-7</v>
      </c>
      <c r="Q39" s="116"/>
    </row>
    <row r="40" spans="1:20" s="113" customFormat="1" ht="6.4" customHeight="1" x14ac:dyDescent="0.2">
      <c r="A40" s="112"/>
      <c r="G40" s="138"/>
      <c r="H40" s="138"/>
      <c r="I40" s="373"/>
      <c r="J40" s="373"/>
      <c r="K40" s="373"/>
      <c r="L40" s="373"/>
      <c r="M40" s="373"/>
      <c r="N40" s="373"/>
      <c r="O40" s="116"/>
      <c r="P40" s="139"/>
      <c r="Q40" s="116"/>
    </row>
    <row r="41" spans="1:20" s="113" customFormat="1" ht="13.15" customHeight="1" x14ac:dyDescent="0.2">
      <c r="A41" s="444" t="s">
        <v>140</v>
      </c>
      <c r="B41" s="131" t="s">
        <v>42</v>
      </c>
      <c r="C41" s="131"/>
      <c r="D41" s="131"/>
      <c r="G41" s="138"/>
      <c r="H41" s="448">
        <f t="shared" ref="H41:I41" si="9">-(H35+H36)</f>
        <v>91.9</v>
      </c>
      <c r="I41" s="138">
        <f t="shared" si="9"/>
        <v>118.5</v>
      </c>
      <c r="J41" s="136">
        <v>9.9999999999999995E-7</v>
      </c>
      <c r="K41" s="136">
        <v>9.9999999999999995E-7</v>
      </c>
      <c r="L41" s="136">
        <v>9.9999999999999995E-7</v>
      </c>
      <c r="M41" s="136">
        <v>9.9999999999999995E-7</v>
      </c>
      <c r="N41" s="136">
        <v>9.9999999999999995E-7</v>
      </c>
      <c r="O41" s="442"/>
      <c r="P41" s="139"/>
      <c r="Q41" s="116"/>
    </row>
    <row r="42" spans="1:20" s="113" customFormat="1" ht="13.15" customHeight="1" x14ac:dyDescent="0.2">
      <c r="A42" s="444">
        <v>7</v>
      </c>
      <c r="B42" s="131" t="s">
        <v>45</v>
      </c>
      <c r="C42" s="131"/>
      <c r="D42" s="131"/>
      <c r="G42" s="138"/>
      <c r="H42" s="135">
        <v>-95.8</v>
      </c>
      <c r="I42" s="539">
        <v>-120.6</v>
      </c>
      <c r="J42" s="449">
        <v>9.9999999999999995E-7</v>
      </c>
      <c r="K42" s="449">
        <v>9.9999999999999995E-7</v>
      </c>
      <c r="L42" s="449">
        <v>9.9999999999999995E-7</v>
      </c>
      <c r="M42" s="449">
        <v>9.9999999999999995E-7</v>
      </c>
      <c r="N42" s="449">
        <v>9.9999999999999995E-7</v>
      </c>
      <c r="O42" s="116"/>
      <c r="P42" s="139"/>
      <c r="Q42" s="116"/>
    </row>
    <row r="43" spans="1:20" s="113" customFormat="1" ht="13.15" customHeight="1" x14ac:dyDescent="0.2">
      <c r="A43" s="444">
        <v>8</v>
      </c>
      <c r="B43" s="131" t="s">
        <v>49</v>
      </c>
      <c r="C43" s="131"/>
      <c r="D43" s="131"/>
      <c r="G43" s="138"/>
      <c r="H43" s="135">
        <v>-2</v>
      </c>
      <c r="I43" s="135">
        <v>-4</v>
      </c>
      <c r="J43" s="136">
        <v>9.9999999999999995E-7</v>
      </c>
      <c r="K43" s="136">
        <v>9.9999999999999995E-7</v>
      </c>
      <c r="L43" s="136">
        <v>9.9999999999999995E-7</v>
      </c>
      <c r="M43" s="136">
        <v>9.9999999999999995E-7</v>
      </c>
      <c r="N43" s="136">
        <v>9.9999999999999995E-7</v>
      </c>
      <c r="O43" s="116"/>
      <c r="P43" s="139"/>
      <c r="Q43" s="116"/>
    </row>
    <row r="44" spans="1:20" s="113" customFormat="1" ht="13.15" customHeight="1" x14ac:dyDescent="0.2">
      <c r="A44" s="444">
        <v>9</v>
      </c>
      <c r="B44" s="146" t="s">
        <v>53</v>
      </c>
      <c r="C44" s="131"/>
      <c r="D44" s="131"/>
      <c r="E44" s="131"/>
      <c r="F44" s="131"/>
      <c r="G44" s="138"/>
      <c r="H44" s="135">
        <v>-19.2</v>
      </c>
      <c r="I44" s="135">
        <v>-20</v>
      </c>
      <c r="J44" s="136">
        <v>9.9999999999999995E-7</v>
      </c>
      <c r="K44" s="136">
        <v>9.9999999999999995E-7</v>
      </c>
      <c r="L44" s="136">
        <v>9.9999999999999995E-7</v>
      </c>
      <c r="M44" s="136">
        <v>9.9999999999999995E-7</v>
      </c>
      <c r="N44" s="136">
        <v>9.9999999999999995E-7</v>
      </c>
      <c r="O44" s="116"/>
      <c r="P44" s="139"/>
      <c r="Q44" s="147"/>
      <c r="R44" s="116"/>
    </row>
    <row r="45" spans="1:20" s="153" customFormat="1" ht="13.15" customHeight="1" x14ac:dyDescent="0.2">
      <c r="A45" s="444">
        <v>10</v>
      </c>
      <c r="B45" s="148" t="s">
        <v>54</v>
      </c>
      <c r="C45" s="148"/>
      <c r="D45" s="148"/>
      <c r="E45" s="114"/>
      <c r="F45" s="114"/>
      <c r="G45" s="149"/>
      <c r="H45" s="450">
        <f>SUM(H39:H44)</f>
        <v>363.14399999999989</v>
      </c>
      <c r="I45" s="150">
        <f>SUM(I39:I44)</f>
        <v>405.54400000000021</v>
      </c>
      <c r="J45" s="452">
        <v>9.9999999999999995E-7</v>
      </c>
      <c r="K45" s="452">
        <v>9.9999999999999995E-7</v>
      </c>
      <c r="L45" s="452">
        <v>9.9999999999999995E-7</v>
      </c>
      <c r="M45" s="452">
        <v>9.9999999999999995E-7</v>
      </c>
      <c r="N45" s="460">
        <v>9.9999999999999995E-7</v>
      </c>
      <c r="O45" s="453"/>
      <c r="P45" s="497">
        <v>9.9999999999999995E-7</v>
      </c>
      <c r="Q45" s="114"/>
      <c r="R45" s="114"/>
    </row>
    <row r="46" spans="1:20" s="153" customFormat="1" ht="13.15" customHeight="1" x14ac:dyDescent="0.2">
      <c r="A46" s="112"/>
      <c r="B46" s="148"/>
      <c r="C46" s="148"/>
      <c r="D46" s="148"/>
      <c r="E46" s="114"/>
      <c r="F46" s="114"/>
      <c r="G46" s="149"/>
      <c r="H46" s="151"/>
      <c r="I46" s="451"/>
      <c r="J46" s="451"/>
      <c r="K46" s="451"/>
      <c r="L46" s="451"/>
      <c r="M46" s="451"/>
      <c r="N46" s="451"/>
      <c r="O46" s="114"/>
      <c r="P46" s="152"/>
      <c r="Q46" s="114"/>
      <c r="R46" s="114"/>
    </row>
    <row r="47" spans="1:20" s="116" customFormat="1" ht="13.15" customHeight="1" x14ac:dyDescent="0.2">
      <c r="A47" s="112"/>
      <c r="B47" s="154"/>
      <c r="C47" s="154"/>
      <c r="D47" s="154"/>
      <c r="E47" s="122"/>
      <c r="F47" s="122"/>
      <c r="H47" s="155"/>
      <c r="I47" s="155"/>
      <c r="J47" s="155"/>
      <c r="K47" s="155"/>
      <c r="L47" s="155"/>
      <c r="M47" s="155"/>
      <c r="N47" s="155"/>
    </row>
    <row r="48" spans="1:20" s="113" customFormat="1" ht="12.75" customHeight="1" x14ac:dyDescent="0.2">
      <c r="A48" s="112"/>
      <c r="G48" s="125" t="s">
        <v>28</v>
      </c>
      <c r="H48" s="126"/>
      <c r="I48" s="127"/>
      <c r="J48" s="125" t="s">
        <v>29</v>
      </c>
      <c r="K48" s="128"/>
      <c r="L48" s="128"/>
      <c r="M48" s="128"/>
      <c r="N48" s="129"/>
    </row>
    <row r="49" spans="1:21" s="113" customFormat="1" ht="13.15" customHeight="1" x14ac:dyDescent="0.2">
      <c r="A49" s="112"/>
      <c r="B49" s="156" t="s">
        <v>55</v>
      </c>
      <c r="G49" s="379">
        <f t="shared" ref="G49:N49" si="10">G27</f>
        <v>2013</v>
      </c>
      <c r="H49" s="379">
        <f t="shared" si="10"/>
        <v>2014</v>
      </c>
      <c r="I49" s="380">
        <f t="shared" si="10"/>
        <v>2015</v>
      </c>
      <c r="J49" s="379">
        <f t="shared" si="10"/>
        <v>2016</v>
      </c>
      <c r="K49" s="379">
        <f t="shared" si="10"/>
        <v>2017</v>
      </c>
      <c r="L49" s="379">
        <f t="shared" si="10"/>
        <v>2018</v>
      </c>
      <c r="M49" s="379">
        <f t="shared" si="10"/>
        <v>2019</v>
      </c>
      <c r="N49" s="379">
        <f t="shared" si="10"/>
        <v>2020</v>
      </c>
      <c r="P49" s="116"/>
      <c r="Q49" s="157" t="s">
        <v>56</v>
      </c>
    </row>
    <row r="50" spans="1:21" s="113" customFormat="1" ht="12.75" customHeight="1" x14ac:dyDescent="0.2">
      <c r="A50" s="112"/>
      <c r="G50" s="116"/>
      <c r="H50" s="116"/>
      <c r="I50" s="116"/>
      <c r="J50" s="116"/>
      <c r="K50" s="116"/>
      <c r="L50" s="116"/>
      <c r="M50" s="116"/>
      <c r="N50" s="116"/>
      <c r="P50" s="116"/>
      <c r="S50" s="143" t="s">
        <v>41</v>
      </c>
      <c r="T50" s="140"/>
      <c r="U50" s="141"/>
    </row>
    <row r="51" spans="1:21" s="116" customFormat="1" ht="13.15" customHeight="1" x14ac:dyDescent="0.2">
      <c r="A51" s="112"/>
      <c r="C51" s="158" t="s">
        <v>57</v>
      </c>
      <c r="G51" s="537"/>
      <c r="H51" s="159">
        <f>H29/G29-1</f>
        <v>2.6982426060865761E-2</v>
      </c>
      <c r="I51" s="159">
        <f>I29/H29-1</f>
        <v>4.0944093157202932E-2</v>
      </c>
      <c r="J51" s="160">
        <v>0.04</v>
      </c>
      <c r="K51" s="159">
        <f t="shared" ref="K51:N53" si="11">J51</f>
        <v>0.04</v>
      </c>
      <c r="L51" s="159">
        <f t="shared" si="11"/>
        <v>0.04</v>
      </c>
      <c r="M51" s="159">
        <f t="shared" si="11"/>
        <v>0.04</v>
      </c>
      <c r="N51" s="159">
        <f t="shared" si="11"/>
        <v>0.04</v>
      </c>
      <c r="Q51" s="160"/>
      <c r="S51" s="144"/>
      <c r="T51" s="220" t="s">
        <v>43</v>
      </c>
      <c r="U51" s="221" t="s">
        <v>44</v>
      </c>
    </row>
    <row r="52" spans="1:21" s="113" customFormat="1" ht="13.15" customHeight="1" x14ac:dyDescent="0.2">
      <c r="A52" s="112"/>
      <c r="B52" s="116"/>
      <c r="C52" s="158" t="s">
        <v>58</v>
      </c>
      <c r="F52" s="116"/>
      <c r="G52" s="159">
        <f>G30/G29</f>
        <v>0.74984997856836699</v>
      </c>
      <c r="H52" s="159">
        <f t="shared" ref="H52:I52" si="12">H30/H29</f>
        <v>0.78626432104175803</v>
      </c>
      <c r="I52" s="159">
        <f t="shared" si="12"/>
        <v>0.78047753653695784</v>
      </c>
      <c r="J52" s="160">
        <v>0.78</v>
      </c>
      <c r="K52" s="159">
        <f>J52+$Q52</f>
        <v>0.77900000000000003</v>
      </c>
      <c r="L52" s="159">
        <f t="shared" ref="L52:N52" si="13">K52+$Q52</f>
        <v>0.77800000000000002</v>
      </c>
      <c r="M52" s="159">
        <f t="shared" si="13"/>
        <v>0.77700000000000002</v>
      </c>
      <c r="N52" s="159">
        <f t="shared" si="13"/>
        <v>0.77600000000000002</v>
      </c>
      <c r="Q52" s="160">
        <v>-1E-3</v>
      </c>
      <c r="S52" s="216" t="s">
        <v>46</v>
      </c>
      <c r="T52" s="218" t="s">
        <v>47</v>
      </c>
      <c r="U52" s="217" t="s">
        <v>48</v>
      </c>
    </row>
    <row r="53" spans="1:21" s="113" customFormat="1" ht="13.15" customHeight="1" x14ac:dyDescent="0.2">
      <c r="A53" s="112"/>
      <c r="B53" s="116"/>
      <c r="C53" s="158" t="s">
        <v>59</v>
      </c>
      <c r="F53" s="116"/>
      <c r="G53" s="159">
        <f>G33/G29</f>
        <v>6.7723960565795119E-2</v>
      </c>
      <c r="H53" s="159">
        <f>H33/H29</f>
        <v>6.3878628518959091E-2</v>
      </c>
      <c r="I53" s="159">
        <f>I33/I29</f>
        <v>5.6193741103827105E-2</v>
      </c>
      <c r="J53" s="160">
        <v>5.6000000000000001E-2</v>
      </c>
      <c r="K53" s="159">
        <f t="shared" si="11"/>
        <v>5.6000000000000001E-2</v>
      </c>
      <c r="L53" s="159">
        <f t="shared" si="11"/>
        <v>5.6000000000000001E-2</v>
      </c>
      <c r="M53" s="159">
        <f t="shared" si="11"/>
        <v>5.6000000000000001E-2</v>
      </c>
      <c r="N53" s="159">
        <f t="shared" si="11"/>
        <v>5.6000000000000001E-2</v>
      </c>
      <c r="Q53" s="160"/>
      <c r="S53" s="215" t="s">
        <v>50</v>
      </c>
      <c r="T53" s="219" t="s">
        <v>51</v>
      </c>
      <c r="U53" s="145" t="s">
        <v>52</v>
      </c>
    </row>
    <row r="54" spans="1:21" s="113" customFormat="1" ht="13.15" customHeight="1" x14ac:dyDescent="0.2">
      <c r="A54" s="112"/>
      <c r="C54" s="161" t="s">
        <v>60</v>
      </c>
      <c r="G54" s="159">
        <f>G34/G29</f>
        <v>0.18242606086583793</v>
      </c>
      <c r="H54" s="159">
        <f t="shared" ref="H54:N54" si="14">H34/H29</f>
        <v>0.14985705043928294</v>
      </c>
      <c r="I54" s="159">
        <f t="shared" si="14"/>
        <v>0.16332872235921503</v>
      </c>
      <c r="J54" s="159">
        <f t="shared" si="14"/>
        <v>0.16399999999999995</v>
      </c>
      <c r="K54" s="159">
        <f t="shared" si="14"/>
        <v>0.1649999999999999</v>
      </c>
      <c r="L54" s="159">
        <f t="shared" si="14"/>
        <v>0.16599999999999993</v>
      </c>
      <c r="M54" s="159">
        <f t="shared" si="14"/>
        <v>0.16699999999999998</v>
      </c>
      <c r="N54" s="159">
        <f t="shared" si="14"/>
        <v>0.16799999999999995</v>
      </c>
      <c r="Q54" s="160"/>
    </row>
    <row r="55" spans="1:21" s="113" customFormat="1" ht="13.15" customHeight="1" x14ac:dyDescent="0.2">
      <c r="A55" s="112"/>
      <c r="C55" s="161" t="s">
        <v>61</v>
      </c>
      <c r="H55" s="159">
        <f>IF(H29=0,0,-H42/H29)</f>
        <v>1.9992069951376281E-2</v>
      </c>
      <c r="I55" s="159">
        <f>IF(I29=0,0,-I42/I29)</f>
        <v>2.4177542551272024E-2</v>
      </c>
      <c r="J55" s="370">
        <v>2.5000000000000001E-2</v>
      </c>
      <c r="K55" s="456">
        <f t="shared" ref="K55:N59" si="15">J55</f>
        <v>2.5000000000000001E-2</v>
      </c>
      <c r="L55" s="456">
        <f t="shared" si="15"/>
        <v>2.5000000000000001E-2</v>
      </c>
      <c r="M55" s="456">
        <f t="shared" si="15"/>
        <v>2.5000000000000001E-2</v>
      </c>
      <c r="N55" s="456">
        <f t="shared" si="15"/>
        <v>2.5000000000000001E-2</v>
      </c>
      <c r="O55" s="442"/>
      <c r="Q55" s="160"/>
    </row>
    <row r="56" spans="1:21" s="113" customFormat="1" ht="13.15" customHeight="1" x14ac:dyDescent="0.2">
      <c r="A56" s="444">
        <v>7</v>
      </c>
      <c r="C56" s="161" t="s">
        <v>62</v>
      </c>
      <c r="G56" s="162"/>
      <c r="H56" s="159">
        <f>IF(H42=0,0,H35/H42)</f>
        <v>0.93945720250521925</v>
      </c>
      <c r="I56" s="159">
        <f>IF(I42=0,0,I35/I42)</f>
        <v>0.95439469320066339</v>
      </c>
      <c r="J56" s="371">
        <v>0.98</v>
      </c>
      <c r="K56" s="436">
        <f>J56+$Q56</f>
        <v>0.98499999999999999</v>
      </c>
      <c r="L56" s="436">
        <f t="shared" ref="L56:N56" si="16">K56+$Q56</f>
        <v>0.99</v>
      </c>
      <c r="M56" s="436">
        <f t="shared" si="16"/>
        <v>0.995</v>
      </c>
      <c r="N56" s="437">
        <f t="shared" si="16"/>
        <v>1</v>
      </c>
      <c r="O56" s="442"/>
      <c r="Q56" s="160">
        <v>5.0000000000000001E-3</v>
      </c>
    </row>
    <row r="57" spans="1:21" s="113" customFormat="1" ht="13.15" customHeight="1" x14ac:dyDescent="0.2">
      <c r="A57" s="112"/>
      <c r="C57" s="161" t="s">
        <v>63</v>
      </c>
      <c r="H57" s="163">
        <f>-H43</f>
        <v>2</v>
      </c>
      <c r="I57" s="133">
        <f>-I43</f>
        <v>4</v>
      </c>
      <c r="J57" s="461">
        <v>5</v>
      </c>
      <c r="K57" s="464">
        <f t="shared" si="15"/>
        <v>5</v>
      </c>
      <c r="L57" s="464">
        <f t="shared" si="15"/>
        <v>5</v>
      </c>
      <c r="M57" s="464">
        <f t="shared" si="15"/>
        <v>5</v>
      </c>
      <c r="N57" s="464">
        <f t="shared" si="15"/>
        <v>5</v>
      </c>
      <c r="O57" s="442"/>
      <c r="Q57" s="164"/>
      <c r="U57" s="166"/>
    </row>
    <row r="58" spans="1:21" s="113" customFormat="1" ht="13.15" customHeight="1" x14ac:dyDescent="0.2">
      <c r="A58" s="112"/>
      <c r="C58" s="161" t="s">
        <v>64</v>
      </c>
      <c r="H58" s="138">
        <f>-H36</f>
        <v>1.9</v>
      </c>
      <c r="I58" s="136">
        <f>-I36</f>
        <v>3.4</v>
      </c>
      <c r="J58" s="462">
        <v>4.5</v>
      </c>
      <c r="K58" s="195">
        <f t="shared" ref="K58:N58" si="17">J58+$Q58</f>
        <v>4.5999999999999996</v>
      </c>
      <c r="L58" s="195">
        <f t="shared" si="17"/>
        <v>4.6999999999999993</v>
      </c>
      <c r="M58" s="195">
        <f t="shared" si="17"/>
        <v>4.7999999999999989</v>
      </c>
      <c r="N58" s="195">
        <f t="shared" si="17"/>
        <v>4.8999999999999986</v>
      </c>
      <c r="O58" s="442"/>
      <c r="Q58" s="167">
        <v>0.1</v>
      </c>
    </row>
    <row r="59" spans="1:21" s="113" customFormat="1" ht="13.15" customHeight="1" x14ac:dyDescent="0.2">
      <c r="A59" s="112"/>
      <c r="C59" s="161" t="s">
        <v>65</v>
      </c>
      <c r="G59" s="105"/>
      <c r="H59" s="159">
        <f>IF(H29=0,0,H44/H29)</f>
        <v>-4.0067614098791716E-3</v>
      </c>
      <c r="I59" s="159">
        <f>IF(I29=0,0,I44/I29)</f>
        <v>-4.0095427116537356E-3</v>
      </c>
      <c r="J59" s="463">
        <v>-4.0000000000000001E-3</v>
      </c>
      <c r="K59" s="375">
        <f t="shared" si="15"/>
        <v>-4.0000000000000001E-3</v>
      </c>
      <c r="L59" s="375">
        <f t="shared" si="15"/>
        <v>-4.0000000000000001E-3</v>
      </c>
      <c r="M59" s="375">
        <f t="shared" si="15"/>
        <v>-4.0000000000000001E-3</v>
      </c>
      <c r="N59" s="375">
        <f t="shared" si="15"/>
        <v>-4.0000000000000001E-3</v>
      </c>
      <c r="O59" s="442"/>
      <c r="Q59" s="160"/>
    </row>
    <row r="60" spans="1:21" s="113" customFormat="1" ht="13.15" customHeight="1" x14ac:dyDescent="0.2">
      <c r="A60" s="112"/>
      <c r="B60" s="105"/>
      <c r="C60" s="105"/>
      <c r="D60" s="105"/>
      <c r="E60" s="105"/>
      <c r="G60" s="131"/>
      <c r="H60" s="162"/>
      <c r="I60" s="162"/>
      <c r="J60" s="169"/>
      <c r="K60" s="170"/>
      <c r="L60" s="170"/>
      <c r="M60" s="170"/>
      <c r="N60" s="170"/>
      <c r="Q60" s="105"/>
    </row>
    <row r="61" spans="1:21" ht="13.15" customHeight="1" x14ac:dyDescent="0.2">
      <c r="A61" s="112"/>
      <c r="C61" s="171" t="s">
        <v>66</v>
      </c>
      <c r="D61" s="172"/>
      <c r="E61" s="173"/>
      <c r="F61" s="173"/>
      <c r="G61" s="174">
        <v>0.08</v>
      </c>
      <c r="I61" s="175" t="s">
        <v>67</v>
      </c>
      <c r="J61" s="176"/>
      <c r="K61" s="177"/>
      <c r="L61" s="177"/>
      <c r="M61" s="177"/>
      <c r="N61" s="178"/>
    </row>
    <row r="62" spans="1:21" ht="13.15" customHeight="1" x14ac:dyDescent="0.2">
      <c r="A62" s="112"/>
      <c r="C62" s="179" t="s">
        <v>68</v>
      </c>
      <c r="D62" s="180"/>
      <c r="E62" s="155"/>
      <c r="F62" s="155"/>
      <c r="G62" s="181">
        <v>0.03</v>
      </c>
      <c r="J62" s="182"/>
      <c r="K62" s="183" t="s">
        <v>57</v>
      </c>
      <c r="L62" s="184"/>
      <c r="M62" s="184"/>
      <c r="N62" s="184"/>
      <c r="Q62" s="185" t="s">
        <v>69</v>
      </c>
      <c r="R62" s="186" t="s">
        <v>70</v>
      </c>
    </row>
    <row r="63" spans="1:21" ht="13.15" customHeight="1" x14ac:dyDescent="0.2">
      <c r="A63" s="112"/>
      <c r="J63" s="187">
        <f>G74</f>
        <v>9.9999999999999995E-7</v>
      </c>
      <c r="K63" s="188">
        <v>0.03</v>
      </c>
      <c r="L63" s="189">
        <f>K63+$R$63</f>
        <v>3.4999999999999996E-2</v>
      </c>
      <c r="M63" s="189">
        <f>L63+$R$63</f>
        <v>3.9999999999999994E-2</v>
      </c>
      <c r="N63" s="189">
        <f>M63+$R$63</f>
        <v>4.4999999999999991E-2</v>
      </c>
      <c r="Q63" s="190">
        <v>3.0000000000000001E-3</v>
      </c>
      <c r="R63" s="190">
        <v>5.0000000000000001E-3</v>
      </c>
    </row>
    <row r="64" spans="1:21" ht="13.15" customHeight="1" x14ac:dyDescent="0.2">
      <c r="A64" s="112"/>
      <c r="C64" s="131" t="s">
        <v>71</v>
      </c>
      <c r="D64" s="131"/>
      <c r="E64" s="113"/>
      <c r="F64" s="113"/>
      <c r="G64" s="163">
        <v>9.9999999999999995E-7</v>
      </c>
      <c r="J64" s="139">
        <f>J65-$Q$63</f>
        <v>0.76800000000000002</v>
      </c>
      <c r="K64" s="191"/>
      <c r="L64" s="192"/>
      <c r="M64" s="192"/>
      <c r="N64" s="193"/>
    </row>
    <row r="65" spans="1:22" ht="13.15" customHeight="1" x14ac:dyDescent="0.2">
      <c r="A65" s="112"/>
      <c r="C65" s="194" t="s">
        <v>72</v>
      </c>
      <c r="D65" s="194"/>
      <c r="E65" s="116"/>
      <c r="F65" s="116"/>
      <c r="G65" s="195">
        <v>9.9999999999999995E-7</v>
      </c>
      <c r="J65" s="189">
        <f>J66-$Q$63</f>
        <v>0.77100000000000002</v>
      </c>
      <c r="K65" s="196"/>
      <c r="L65" s="197"/>
      <c r="M65" s="197"/>
      <c r="N65" s="198"/>
      <c r="Q65" s="551" t="str">
        <f>"Steps to complete the data table"</f>
        <v>Steps to complete the data table</v>
      </c>
      <c r="R65" s="552"/>
      <c r="S65" s="552"/>
      <c r="T65" s="552"/>
      <c r="U65" s="552"/>
      <c r="V65" s="553"/>
    </row>
    <row r="66" spans="1:22" ht="13.15" customHeight="1" x14ac:dyDescent="0.2">
      <c r="A66" s="112"/>
      <c r="C66" s="131" t="s">
        <v>73</v>
      </c>
      <c r="D66" s="131"/>
      <c r="E66" s="113"/>
      <c r="F66" s="113"/>
      <c r="G66" s="138">
        <v>9.9999999999999995E-7</v>
      </c>
      <c r="I66" s="199"/>
      <c r="J66" s="189">
        <f>J67-$Q$63</f>
        <v>0.77400000000000002</v>
      </c>
      <c r="K66" s="196"/>
      <c r="L66" s="197"/>
      <c r="M66" s="197"/>
      <c r="N66" s="198"/>
      <c r="Q66" s="554" t="str">
        <f>"1) Link the ''Output Cell'' "&amp;ADDRESS(ROW(J63),COLUMN(J63),4) &amp;" to the cell you want to ''study'' "&amp;ADDRESS(ROW(G74),COLUMN(G74),4)</f>
        <v>1) Link the ''Output Cell'' J63 to the cell you want to ''study'' G74</v>
      </c>
      <c r="R66" s="200"/>
      <c r="S66" s="200"/>
      <c r="T66" s="200"/>
      <c r="U66" s="200"/>
      <c r="V66" s="555"/>
    </row>
    <row r="67" spans="1:22" ht="13.15" customHeight="1" x14ac:dyDescent="0.2">
      <c r="A67" s="112"/>
      <c r="C67" s="201" t="s">
        <v>74</v>
      </c>
      <c r="D67" s="201"/>
      <c r="E67" s="202"/>
      <c r="F67" s="202"/>
      <c r="G67" s="150">
        <v>9.9999999999999995E-7</v>
      </c>
      <c r="J67" s="189">
        <f>J68-$Q$63</f>
        <v>0.77700000000000002</v>
      </c>
      <c r="K67" s="196"/>
      <c r="L67" s="197"/>
      <c r="M67" s="197"/>
      <c r="N67" s="198"/>
      <c r="Q67" s="554" t="str">
        <f>"2) Highlight the range "&amp;ADDRESS(ROW(J63),COLUMN(J63),4)&amp;":"&amp;ADDRESS(ROW(N72),COLUMN(N72),4)</f>
        <v>2) Highlight the range J63:N72</v>
      </c>
      <c r="R67" s="200"/>
      <c r="S67" s="200"/>
      <c r="T67" s="200"/>
      <c r="U67" s="200"/>
      <c r="V67" s="555"/>
    </row>
    <row r="68" spans="1:22" ht="13.15" customHeight="1" x14ac:dyDescent="0.2">
      <c r="A68" s="112"/>
      <c r="C68" s="113" t="s">
        <v>75</v>
      </c>
      <c r="D68" s="131"/>
      <c r="E68" s="113"/>
      <c r="F68" s="113"/>
      <c r="G68" s="203">
        <v>-523</v>
      </c>
      <c r="I68" s="204" t="s">
        <v>76</v>
      </c>
      <c r="J68" s="142">
        <v>0.78</v>
      </c>
      <c r="K68" s="196"/>
      <c r="L68" s="197"/>
      <c r="M68" s="197"/>
      <c r="N68" s="198"/>
      <c r="Q68" s="554" t="s">
        <v>77</v>
      </c>
      <c r="R68" s="200"/>
      <c r="S68" s="200"/>
      <c r="T68" s="200"/>
      <c r="U68" s="200"/>
      <c r="V68" s="555"/>
    </row>
    <row r="69" spans="1:22" ht="13.15" customHeight="1" x14ac:dyDescent="0.2">
      <c r="A69" s="112"/>
      <c r="C69" s="113" t="s">
        <v>78</v>
      </c>
      <c r="D69" s="131"/>
      <c r="E69" s="113"/>
      <c r="F69" s="113"/>
      <c r="G69" s="167">
        <v>48.1</v>
      </c>
      <c r="J69" s="189">
        <f>J68+$Q$63</f>
        <v>0.78300000000000003</v>
      </c>
      <c r="K69" s="196"/>
      <c r="L69" s="197"/>
      <c r="M69" s="197"/>
      <c r="N69" s="198"/>
      <c r="Q69" s="560" t="s">
        <v>104</v>
      </c>
      <c r="R69" s="200"/>
      <c r="S69" s="200"/>
      <c r="T69" s="200"/>
      <c r="U69" s="200"/>
      <c r="V69" s="555"/>
    </row>
    <row r="70" spans="1:22" ht="13.15" customHeight="1" x14ac:dyDescent="0.2">
      <c r="A70" s="112"/>
      <c r="C70" s="201" t="s">
        <v>79</v>
      </c>
      <c r="D70" s="201"/>
      <c r="E70" s="202"/>
      <c r="F70" s="202"/>
      <c r="G70" s="150">
        <v>9.9999999999999995E-7</v>
      </c>
      <c r="J70" s="189">
        <f>J69+$Q$63</f>
        <v>0.78600000000000003</v>
      </c>
      <c r="K70" s="196"/>
      <c r="L70" s="197"/>
      <c r="M70" s="197"/>
      <c r="N70" s="198"/>
      <c r="Q70" s="560" t="s">
        <v>80</v>
      </c>
      <c r="R70" s="200"/>
      <c r="S70" s="200"/>
      <c r="T70" s="200"/>
      <c r="U70" s="200"/>
      <c r="V70" s="555"/>
    </row>
    <row r="71" spans="1:22" ht="13.15" customHeight="1" x14ac:dyDescent="0.2">
      <c r="A71" s="112"/>
      <c r="J71" s="189">
        <f>J70+$Q$63</f>
        <v>0.78900000000000003</v>
      </c>
      <c r="K71" s="196"/>
      <c r="L71" s="197"/>
      <c r="M71" s="197"/>
      <c r="N71" s="198"/>
      <c r="Q71" s="560" t="s">
        <v>81</v>
      </c>
      <c r="R71" s="200"/>
      <c r="S71" s="200"/>
      <c r="T71" s="200"/>
      <c r="U71" s="200"/>
      <c r="V71" s="555"/>
    </row>
    <row r="72" spans="1:22" ht="13.15" customHeight="1" thickBot="1" x14ac:dyDescent="0.25">
      <c r="A72" s="112"/>
      <c r="D72" s="113"/>
      <c r="E72" s="113"/>
      <c r="F72" s="205" t="s">
        <v>82</v>
      </c>
      <c r="G72" s="206">
        <v>241.48099999999999</v>
      </c>
      <c r="J72" s="189">
        <f>J71+$Q$63</f>
        <v>0.79200000000000004</v>
      </c>
      <c r="K72" s="207"/>
      <c r="L72" s="208"/>
      <c r="M72" s="208"/>
      <c r="N72" s="209"/>
      <c r="Q72" s="554" t="str">
        <f>"4) Row input cell select "&amp;ADDRESS(ROW(J51),COLUMN(J51),4)&amp;". Column input cell select "&amp;ADDRESS(ROW(J52),COLUMN(J52),4)</f>
        <v>4) Row input cell select J51. Column input cell select J52</v>
      </c>
      <c r="R72" s="200"/>
      <c r="S72" s="200"/>
      <c r="T72" s="200"/>
      <c r="U72" s="200"/>
      <c r="V72" s="555"/>
    </row>
    <row r="73" spans="1:22" ht="13.15" customHeight="1" thickTop="1" x14ac:dyDescent="0.2">
      <c r="A73" s="112"/>
      <c r="D73" s="194"/>
      <c r="E73" s="116"/>
      <c r="F73" s="116"/>
      <c r="G73" s="116"/>
      <c r="Q73" s="556" t="s">
        <v>83</v>
      </c>
      <c r="R73" s="200"/>
      <c r="S73" s="200"/>
      <c r="T73" s="200"/>
      <c r="U73" s="200"/>
      <c r="V73" s="555"/>
    </row>
    <row r="74" spans="1:22" ht="13.15" customHeight="1" thickBot="1" x14ac:dyDescent="0.25">
      <c r="A74" s="354" t="s">
        <v>23</v>
      </c>
      <c r="B74" s="354"/>
      <c r="D74" s="210"/>
      <c r="E74" s="211"/>
      <c r="F74" s="212" t="s">
        <v>84</v>
      </c>
      <c r="G74" s="213">
        <v>9.9999999999999995E-7</v>
      </c>
      <c r="I74"/>
      <c r="J74"/>
      <c r="L74"/>
      <c r="M74"/>
      <c r="N74"/>
      <c r="Q74" s="561" t="s">
        <v>85</v>
      </c>
      <c r="R74" s="558"/>
      <c r="S74" s="558"/>
      <c r="T74" s="558"/>
      <c r="U74" s="558"/>
      <c r="V74" s="559"/>
    </row>
    <row r="75" spans="1:22" ht="13.15" customHeight="1" thickTop="1" x14ac:dyDescent="0.2">
      <c r="A75" s="354"/>
      <c r="B75" s="354"/>
      <c r="I75"/>
      <c r="J75"/>
      <c r="L75"/>
      <c r="M75"/>
      <c r="N75"/>
    </row>
    <row r="76" spans="1:22" ht="13.15" customHeight="1" x14ac:dyDescent="0.2">
      <c r="A76" s="354"/>
      <c r="B76" s="354"/>
      <c r="I76"/>
      <c r="J76"/>
      <c r="L76"/>
      <c r="M76"/>
      <c r="N76"/>
      <c r="Q76" s="551" t="str">
        <f>"Adding Conditional Formatting"</f>
        <v>Adding Conditional Formatting</v>
      </c>
      <c r="R76" s="552"/>
      <c r="S76" s="552"/>
      <c r="T76" s="552"/>
      <c r="U76" s="552"/>
      <c r="V76" s="553"/>
    </row>
    <row r="77" spans="1:22" ht="13.15" customHeight="1" x14ac:dyDescent="0.2">
      <c r="A77" s="354"/>
      <c r="B77" s="354"/>
      <c r="I77"/>
      <c r="J77"/>
      <c r="L77"/>
      <c r="M77"/>
      <c r="N77"/>
      <c r="Q77" s="554" t="str">
        <f>"1) Highlight the range "&amp;ADDRESS(ROW(K64),COLUMN(K64),4)&amp;":"&amp;ADDRESS(ROW(N72),COLUMN(N72),4)</f>
        <v>1) Highlight the range K64:N72</v>
      </c>
      <c r="R77" s="200"/>
      <c r="S77" s="200"/>
      <c r="T77" s="200"/>
      <c r="U77" s="200"/>
      <c r="V77" s="555"/>
    </row>
    <row r="78" spans="1:22" ht="13.15" customHeight="1" x14ac:dyDescent="0.2">
      <c r="A78" s="354"/>
      <c r="B78" s="354"/>
      <c r="I78"/>
      <c r="J78"/>
      <c r="L78"/>
      <c r="M78"/>
      <c r="N78"/>
      <c r="Q78" s="556" t="s">
        <v>200</v>
      </c>
      <c r="R78" s="200"/>
      <c r="S78" s="200"/>
      <c r="T78" s="200"/>
      <c r="U78" s="200"/>
      <c r="V78" s="555"/>
    </row>
    <row r="79" spans="1:22" ht="13.15" customHeight="1" x14ac:dyDescent="0.2">
      <c r="A79" s="354"/>
      <c r="B79" s="354"/>
      <c r="I79"/>
      <c r="J79"/>
      <c r="L79"/>
      <c r="M79"/>
      <c r="N79"/>
      <c r="Q79" s="556" t="s">
        <v>202</v>
      </c>
      <c r="R79" s="200"/>
      <c r="S79" s="200"/>
      <c r="T79" s="200"/>
      <c r="U79" s="200"/>
      <c r="V79" s="555"/>
    </row>
    <row r="80" spans="1:22" ht="13.15" customHeight="1" x14ac:dyDescent="0.2">
      <c r="A80" s="354"/>
      <c r="B80" s="354"/>
      <c r="I80"/>
      <c r="J80"/>
      <c r="L80"/>
      <c r="M80"/>
      <c r="N80"/>
      <c r="Q80" s="557" t="s">
        <v>201</v>
      </c>
      <c r="R80" s="558"/>
      <c r="S80" s="558"/>
      <c r="T80" s="558"/>
      <c r="U80" s="558"/>
      <c r="V80" s="559"/>
    </row>
    <row r="81" spans="1:14" ht="13.15" customHeight="1" x14ac:dyDescent="0.2">
      <c r="A81" s="354"/>
      <c r="B81" s="354"/>
      <c r="I81"/>
      <c r="J81"/>
      <c r="L81"/>
      <c r="M81"/>
      <c r="N81"/>
    </row>
    <row r="82" spans="1:14" ht="13.15" customHeight="1" x14ac:dyDescent="0.2">
      <c r="A82" s="354" t="s">
        <v>23</v>
      </c>
      <c r="B82" s="354" t="s">
        <v>86</v>
      </c>
      <c r="L82"/>
      <c r="M82"/>
      <c r="N82"/>
    </row>
    <row r="83" spans="1:14" ht="13.15" customHeight="1" x14ac:dyDescent="0.2">
      <c r="L83"/>
      <c r="M83"/>
      <c r="N83"/>
    </row>
  </sheetData>
  <sheetProtection formatCells="0" formatColumns="0" formatRows="0" insertColumns="0" insertRows="0" insertHyperlinks="0" deleteColumns="0" deleteRows="0" sort="0" autoFilter="0" pivotTables="0"/>
  <protectedRanges>
    <protectedRange sqref="G61:G62" name="Range1"/>
    <protectedRange sqref="G65" name="Range1_1"/>
  </protectedRanges>
  <mergeCells count="3">
    <mergeCell ref="R2:R3"/>
    <mergeCell ref="R4:R6"/>
    <mergeCell ref="R8:R12"/>
  </mergeCells>
  <conditionalFormatting sqref="J63">
    <cfRule type="cellIs" dxfId="84" priority="25" stopIfTrue="1" operator="equal">
      <formula>0</formula>
    </cfRule>
  </conditionalFormatting>
  <conditionalFormatting sqref="G52:I52 H51:I51 G54:N54">
    <cfRule type="cellIs" dxfId="83" priority="26" stopIfTrue="1" operator="equal">
      <formula>0.000001</formula>
    </cfRule>
  </conditionalFormatting>
  <conditionalFormatting sqref="G31:N31">
    <cfRule type="cellIs" dxfId="82" priority="24" stopIfTrue="1" operator="equal">
      <formula>0.000001</formula>
    </cfRule>
  </conditionalFormatting>
  <conditionalFormatting sqref="G34:N34">
    <cfRule type="cellIs" dxfId="81" priority="23" stopIfTrue="1" operator="equal">
      <formula>0.000001</formula>
    </cfRule>
  </conditionalFormatting>
  <conditionalFormatting sqref="G37:I37">
    <cfRule type="cellIs" dxfId="80" priority="22" stopIfTrue="1" operator="equal">
      <formula>0.000001</formula>
    </cfRule>
  </conditionalFormatting>
  <conditionalFormatting sqref="G39:I39">
    <cfRule type="cellIs" dxfId="79" priority="21" stopIfTrue="1" operator="equal">
      <formula>0.000001</formula>
    </cfRule>
  </conditionalFormatting>
  <conditionalFormatting sqref="H45:I45">
    <cfRule type="cellIs" dxfId="78" priority="20" stopIfTrue="1" operator="equal">
      <formula>0.000001</formula>
    </cfRule>
  </conditionalFormatting>
  <conditionalFormatting sqref="J29:N29">
    <cfRule type="cellIs" dxfId="77" priority="19" stopIfTrue="1" operator="equal">
      <formula>0.000001</formula>
    </cfRule>
  </conditionalFormatting>
  <conditionalFormatting sqref="J30:N30">
    <cfRule type="cellIs" dxfId="76" priority="18" stopIfTrue="1" operator="equal">
      <formula>0.000001</formula>
    </cfRule>
  </conditionalFormatting>
  <conditionalFormatting sqref="J33:N33">
    <cfRule type="cellIs" dxfId="75" priority="17" stopIfTrue="1" operator="equal">
      <formula>0.000001</formula>
    </cfRule>
  </conditionalFormatting>
  <conditionalFormatting sqref="J35:N35">
    <cfRule type="cellIs" dxfId="74" priority="16" stopIfTrue="1" operator="equal">
      <formula>0.000001</formula>
    </cfRule>
  </conditionalFormatting>
  <conditionalFormatting sqref="J36:N36">
    <cfRule type="cellIs" dxfId="73" priority="15" stopIfTrue="1" operator="equal">
      <formula>0.000001</formula>
    </cfRule>
  </conditionalFormatting>
  <conditionalFormatting sqref="J42:N42">
    <cfRule type="cellIs" dxfId="72" priority="14" stopIfTrue="1" operator="equal">
      <formula>0.000001</formula>
    </cfRule>
  </conditionalFormatting>
  <conditionalFormatting sqref="J43:N43">
    <cfRule type="cellIs" dxfId="71" priority="13" stopIfTrue="1" operator="equal">
      <formula>0.000001</formula>
    </cfRule>
  </conditionalFormatting>
  <conditionalFormatting sqref="J44:N44">
    <cfRule type="cellIs" dxfId="70" priority="12" stopIfTrue="1" operator="equal">
      <formula>0.000001</formula>
    </cfRule>
  </conditionalFormatting>
  <conditionalFormatting sqref="J41:N41">
    <cfRule type="cellIs" dxfId="69" priority="11" stopIfTrue="1" operator="equal">
      <formula>0.000001</formula>
    </cfRule>
  </conditionalFormatting>
  <conditionalFormatting sqref="J37:N39">
    <cfRule type="cellIs" dxfId="68" priority="10" stopIfTrue="1" operator="equal">
      <formula>0.000001</formula>
    </cfRule>
  </conditionalFormatting>
  <conditionalFormatting sqref="J45:N45">
    <cfRule type="cellIs" dxfId="67" priority="9" stopIfTrue="1" operator="equal">
      <formula>0.000001</formula>
    </cfRule>
  </conditionalFormatting>
  <conditionalFormatting sqref="P29">
    <cfRule type="cellIs" dxfId="66" priority="8" stopIfTrue="1" operator="equal">
      <formula>0.000001</formula>
    </cfRule>
  </conditionalFormatting>
  <conditionalFormatting sqref="P31">
    <cfRule type="cellIs" dxfId="65" priority="7" stopIfTrue="1" operator="equal">
      <formula>0.000001</formula>
    </cfRule>
  </conditionalFormatting>
  <conditionalFormatting sqref="P34">
    <cfRule type="cellIs" dxfId="64" priority="6" stopIfTrue="1" operator="equal">
      <formula>0.000001</formula>
    </cfRule>
  </conditionalFormatting>
  <conditionalFormatting sqref="P37">
    <cfRule type="cellIs" dxfId="63" priority="5" stopIfTrue="1" operator="equal">
      <formula>0.000001</formula>
    </cfRule>
  </conditionalFormatting>
  <conditionalFormatting sqref="P39">
    <cfRule type="cellIs" dxfId="62" priority="4" stopIfTrue="1" operator="equal">
      <formula>0.000001</formula>
    </cfRule>
  </conditionalFormatting>
  <conditionalFormatting sqref="P45">
    <cfRule type="cellIs" dxfId="61" priority="3" stopIfTrue="1" operator="equal">
      <formula>0.000001</formula>
    </cfRule>
  </conditionalFormatting>
  <conditionalFormatting sqref="K56:N56">
    <cfRule type="cellIs" dxfId="60" priority="1" operator="equal">
      <formula>0.0001</formula>
    </cfRule>
    <cfRule type="cellIs" dxfId="59" priority="2" stopIfTrue="1" operator="equal">
      <formula>0.000001</formula>
    </cfRule>
  </conditionalFormatting>
  <pageMargins left="0.75" right="0.75" top="0.65" bottom="0.65" header="0.5" footer="0.25"/>
  <pageSetup scale="57" orientation="landscape" r:id="rId1"/>
  <headerFooter alignWithMargins="0">
    <oddFooter>&amp;C&amp;8&amp;G&amp;R&amp;8For training purposes only!&amp;L&amp;8COPYRIGHT 2016 © by Training The Street, Inc</oddFoot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>
    <pageSetUpPr fitToPage="1"/>
  </sheetPr>
  <dimension ref="A1:X93"/>
  <sheetViews>
    <sheetView zoomScaleNormal="100" workbookViewId="0">
      <pane ySplit="21" topLeftCell="A79" activePane="bottomLeft" state="frozen"/>
      <selection activeCell="A76" sqref="A76"/>
      <selection pane="bottomLeft" activeCell="A22" sqref="A22"/>
    </sheetView>
  </sheetViews>
  <sheetFormatPr defaultColWidth="10" defaultRowHeight="13.15" customHeight="1" outlineLevelRow="1" x14ac:dyDescent="0.2"/>
  <cols>
    <col min="1" max="1" width="3" style="93" customWidth="1"/>
    <col min="2" max="3" width="1.7109375" style="1" customWidth="1"/>
    <col min="4" max="14" width="10" style="1" customWidth="1"/>
    <col min="15" max="15" width="1.7109375" style="1" customWidth="1"/>
    <col min="16" max="16" width="10" style="1"/>
    <col min="17" max="17" width="10.85546875" style="1" bestFit="1" customWidth="1"/>
    <col min="18" max="16384" width="10" style="1"/>
  </cols>
  <sheetData>
    <row r="1" spans="1:24" s="105" customFormat="1" ht="12.75" customHeight="1" outlineLevel="1" x14ac:dyDescent="0.2">
      <c r="A1" s="387"/>
      <c r="B1" s="404" t="str">
        <f ca="1">MID(CELL("filename",B1),FIND("]",CELL("filename",B1))+1,31)&amp;": Calculate the intrinsic value of the unlevered free cash flows"</f>
        <v>Steps 11-17: Calculate the intrinsic value of the unlevered free cash flows</v>
      </c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6"/>
      <c r="Q1" s="395"/>
      <c r="R1" s="404" t="s">
        <v>150</v>
      </c>
      <c r="S1" s="405"/>
      <c r="T1" s="405"/>
      <c r="U1" s="405"/>
      <c r="V1" s="405"/>
      <c r="W1" s="405"/>
      <c r="X1" s="406"/>
    </row>
    <row r="2" spans="1:24" s="105" customFormat="1" ht="12.75" customHeight="1" outlineLevel="1" x14ac:dyDescent="0.25">
      <c r="A2" s="387"/>
      <c r="B2" s="407"/>
      <c r="C2" s="401"/>
      <c r="D2" s="401"/>
      <c r="E2" s="401"/>
      <c r="F2" s="401"/>
      <c r="G2" s="401"/>
      <c r="H2" s="401"/>
      <c r="I2" s="401"/>
      <c r="J2" s="401"/>
      <c r="K2" s="400"/>
      <c r="L2" s="401"/>
      <c r="M2" s="401"/>
      <c r="N2" s="401"/>
      <c r="O2" s="401"/>
      <c r="P2" s="408"/>
      <c r="Q2" s="395"/>
      <c r="R2" s="492">
        <v>11</v>
      </c>
      <c r="S2" s="477" t="str">
        <f>ADDRESS(ROW(G64),COLUMN(G64),4)&amp; " = "</f>
        <v xml:space="preserve">G64 = </v>
      </c>
      <c r="T2" s="107" t="str">
        <f>"NPV("&amp;ADDRESS(ROW(G61),COLUMN(G61),4)&amp;","&amp;ADDRESS(ROW(J45),COLUMN(J45),4)&amp;":"&amp;ADDRESS(ROW(N45),COLUMN(N45),4)&amp;")"</f>
        <v>NPV(G61,J45:N45)</v>
      </c>
      <c r="U2" s="107"/>
      <c r="V2" s="107"/>
      <c r="W2" s="479" t="s">
        <v>172</v>
      </c>
      <c r="X2" s="476"/>
    </row>
    <row r="3" spans="1:24" s="105" customFormat="1" ht="12.75" customHeight="1" outlineLevel="1" x14ac:dyDescent="0.2">
      <c r="A3" s="387"/>
      <c r="B3" s="409"/>
      <c r="C3" s="402" t="str">
        <f>"Step "&amp;A64&amp;": Calculate the net present value of the unlevered free cash flow"</f>
        <v>Step 11: Calculate the net present value of the unlevered free cash flow</v>
      </c>
      <c r="D3" s="403"/>
      <c r="E3" s="403"/>
      <c r="F3" s="403"/>
      <c r="G3" s="401"/>
      <c r="H3" s="401"/>
      <c r="I3" s="401"/>
      <c r="J3" s="427"/>
      <c r="K3" s="402" t="str">
        <f>"Step "&amp;A66&amp;": Calculate the present value of terminal value"</f>
        <v>Step 13: Calculate the present value of terminal value</v>
      </c>
      <c r="L3" s="401"/>
      <c r="M3" s="403"/>
      <c r="N3" s="403"/>
      <c r="O3" s="403"/>
      <c r="P3" s="430"/>
      <c r="Q3" s="395"/>
      <c r="R3" s="493">
        <v>12</v>
      </c>
      <c r="S3" s="484" t="str">
        <f>ADDRESS(ROW(G65),COLUMN(G65),4)&amp; " = "</f>
        <v xml:space="preserve">G65 = </v>
      </c>
      <c r="T3" s="486" t="str">
        <f>ADDRESS(ROW(N45),COLUMN(N45),4)&amp;" * (1 + "&amp;ADDRESS(ROW(G62),COLUMN(G62),4)&amp;") / ("&amp;ADDRESS(ROW(G61),COLUMN(G61),4)&amp;" - "&amp;ADDRESS(ROW(G62),COLUMN(G62),4)&amp;")"</f>
        <v>N45 * (1 + G62) / (G61 - G62)</v>
      </c>
      <c r="U3" s="486"/>
      <c r="V3" s="486"/>
      <c r="W3" s="487" t="s">
        <v>173</v>
      </c>
      <c r="X3" s="483"/>
    </row>
    <row r="4" spans="1:24" s="105" customFormat="1" ht="12.75" customHeight="1" outlineLevel="1" x14ac:dyDescent="0.2">
      <c r="A4" s="387"/>
      <c r="B4" s="410"/>
      <c r="C4" s="401"/>
      <c r="D4" s="429" t="s">
        <v>126</v>
      </c>
      <c r="E4" s="401"/>
      <c r="F4" s="401"/>
      <c r="G4" s="401"/>
      <c r="H4" s="401"/>
      <c r="I4" s="401"/>
      <c r="J4" s="428"/>
      <c r="K4" s="428" t="s">
        <v>134</v>
      </c>
      <c r="L4" s="401"/>
      <c r="M4" s="401"/>
      <c r="N4" s="401"/>
      <c r="O4" s="401"/>
      <c r="P4" s="408"/>
      <c r="Q4" s="395"/>
      <c r="R4" s="492">
        <v>13</v>
      </c>
      <c r="S4" s="477" t="str">
        <f>ADDRESS(ROW(G66),COLUMN(G66),4)&amp; " = "</f>
        <v xml:space="preserve">G66 = </v>
      </c>
      <c r="T4" s="107" t="str">
        <f>"PV("&amp;ADDRESS(ROW(G61),COLUMN(G61),4)&amp;",5,0,-"&amp;ADDRESS(ROW(G65),COLUMN(G65),4)&amp;")"</f>
        <v>PV(G61,5,0,-G65)</v>
      </c>
      <c r="U4" s="107"/>
      <c r="V4" s="107"/>
      <c r="W4" s="479" t="s">
        <v>174</v>
      </c>
      <c r="X4" s="476"/>
    </row>
    <row r="5" spans="1:24" s="105" customFormat="1" ht="12.75" customHeight="1" outlineLevel="1" x14ac:dyDescent="0.25">
      <c r="A5" s="387"/>
      <c r="B5" s="407"/>
      <c r="C5" s="401"/>
      <c r="D5" s="547" t="s">
        <v>197</v>
      </c>
      <c r="E5" s="466" t="s">
        <v>195</v>
      </c>
      <c r="F5" s="401"/>
      <c r="G5" s="401"/>
      <c r="H5" s="401"/>
      <c r="I5" s="401"/>
      <c r="J5" s="446"/>
      <c r="K5" s="356" t="s">
        <v>135</v>
      </c>
      <c r="L5" s="401"/>
      <c r="M5" s="401"/>
      <c r="N5" s="401"/>
      <c r="O5" s="401"/>
      <c r="P5" s="408"/>
      <c r="Q5" s="395"/>
      <c r="R5" s="493">
        <v>14</v>
      </c>
      <c r="S5" s="484" t="str">
        <f>ADDRESS(ROW(G67),COLUMN(G67),4)&amp; " = "</f>
        <v xml:space="preserve">G67 = </v>
      </c>
      <c r="T5" s="486" t="str">
        <f>ADDRESS(ROW(G64),COLUMN(G64),4)&amp;" + "&amp;ADDRESS(ROW(G66),COLUMN(G66),4)</f>
        <v>G64 + G66</v>
      </c>
      <c r="U5" s="486"/>
      <c r="V5" s="486"/>
      <c r="W5" s="487" t="s">
        <v>148</v>
      </c>
      <c r="X5" s="483"/>
    </row>
    <row r="6" spans="1:24" s="105" customFormat="1" ht="12.75" customHeight="1" outlineLevel="1" x14ac:dyDescent="0.25">
      <c r="A6" s="387"/>
      <c r="B6" s="407"/>
      <c r="C6" s="401"/>
      <c r="D6" s="398"/>
      <c r="E6" s="548" t="s">
        <v>190</v>
      </c>
      <c r="F6" s="548" t="s">
        <v>196</v>
      </c>
      <c r="G6" s="401"/>
      <c r="H6" s="401"/>
      <c r="I6" s="401"/>
      <c r="J6" s="401"/>
      <c r="K6" s="400"/>
      <c r="L6" s="401"/>
      <c r="M6" s="401"/>
      <c r="N6" s="401"/>
      <c r="O6" s="401"/>
      <c r="P6" s="408"/>
      <c r="Q6" s="395"/>
      <c r="R6" s="492">
        <v>15</v>
      </c>
      <c r="S6" s="477" t="str">
        <f>ADDRESS(ROW(G70),COLUMN(G70),4)&amp; " = "</f>
        <v xml:space="preserve">G70 = </v>
      </c>
      <c r="T6" s="107" t="str">
        <f>"SUM("&amp;ADDRESS(ROW(G67),COLUMN(G67),4)&amp;":"&amp;ADDRESS(ROW(G69),COLUMN(G69),4)&amp;")"</f>
        <v>SUM(G67:G69)</v>
      </c>
      <c r="U6" s="107"/>
      <c r="V6" s="107"/>
      <c r="W6" s="479" t="s">
        <v>175</v>
      </c>
      <c r="X6" s="476"/>
    </row>
    <row r="7" spans="1:24" s="105" customFormat="1" ht="12.75" customHeight="1" outlineLevel="1" x14ac:dyDescent="0.25">
      <c r="A7" s="387"/>
      <c r="B7" s="407"/>
      <c r="C7" s="401"/>
      <c r="D7" s="429" t="s">
        <v>127</v>
      </c>
      <c r="E7" s="401"/>
      <c r="F7" s="401"/>
      <c r="G7" s="401"/>
      <c r="H7" s="401"/>
      <c r="I7" s="401"/>
      <c r="J7" s="427"/>
      <c r="K7" s="402" t="str">
        <f>"Step "&amp;A67&amp;": Calculate the Enterprise Value"</f>
        <v>Step 14: Calculate the Enterprise Value</v>
      </c>
      <c r="L7" s="401"/>
      <c r="M7" s="401"/>
      <c r="N7" s="401"/>
      <c r="O7" s="401"/>
      <c r="P7" s="408"/>
      <c r="Q7" s="395"/>
      <c r="R7" s="494">
        <v>16</v>
      </c>
      <c r="S7" s="489" t="str">
        <f>ADDRESS(ROW(G74),COLUMN(G74),4)&amp; " = "</f>
        <v xml:space="preserve">G74 = </v>
      </c>
      <c r="T7" s="490" t="str">
        <f>ADDRESS(ROW(G70),COLUMN(G70),4)&amp;" / "&amp;ADDRESS(ROW(G72),COLUMN(G72),4)</f>
        <v>G70 / G72</v>
      </c>
      <c r="U7" s="490"/>
      <c r="V7" s="490"/>
      <c r="W7" s="491" t="s">
        <v>176</v>
      </c>
      <c r="X7" s="488"/>
    </row>
    <row r="8" spans="1:24" s="105" customFormat="1" ht="12.75" customHeight="1" outlineLevel="1" x14ac:dyDescent="0.25">
      <c r="A8" s="387"/>
      <c r="B8" s="407"/>
      <c r="C8" s="401"/>
      <c r="D8" s="429" t="s">
        <v>133</v>
      </c>
      <c r="E8" s="401"/>
      <c r="F8" s="401"/>
      <c r="G8" s="401"/>
      <c r="H8" s="401"/>
      <c r="I8" s="401"/>
      <c r="J8" s="428"/>
      <c r="K8" s="428" t="s">
        <v>138</v>
      </c>
      <c r="L8" s="401"/>
      <c r="M8" s="401"/>
      <c r="N8" s="401"/>
      <c r="O8" s="401"/>
      <c r="P8" s="408"/>
      <c r="Q8" s="395"/>
    </row>
    <row r="9" spans="1:24" s="105" customFormat="1" ht="12.75" customHeight="1" outlineLevel="1" x14ac:dyDescent="0.25">
      <c r="A9" s="387"/>
      <c r="B9" s="407"/>
      <c r="C9" s="401"/>
      <c r="D9" s="356" t="s">
        <v>128</v>
      </c>
      <c r="E9" s="401"/>
      <c r="F9" s="401"/>
      <c r="G9" s="401"/>
      <c r="H9" s="401"/>
      <c r="I9" s="401"/>
      <c r="J9" s="428"/>
      <c r="K9" s="356"/>
      <c r="L9" s="401"/>
      <c r="M9" s="401"/>
      <c r="N9" s="401"/>
      <c r="O9" s="401"/>
      <c r="P9" s="408"/>
      <c r="Q9" s="395"/>
      <c r="R9" s="387"/>
    </row>
    <row r="10" spans="1:24" s="105" customFormat="1" ht="12.75" customHeight="1" outlineLevel="1" x14ac:dyDescent="0.25">
      <c r="A10" s="387"/>
      <c r="B10" s="407"/>
      <c r="C10" s="401"/>
      <c r="D10" s="356" t="s">
        <v>124</v>
      </c>
      <c r="E10" s="401"/>
      <c r="F10" s="466" t="s">
        <v>192</v>
      </c>
      <c r="G10" s="401"/>
      <c r="H10" s="401"/>
      <c r="I10" s="401"/>
      <c r="J10" s="428"/>
      <c r="K10" s="402" t="str">
        <f>"Step "&amp;A70&amp;": Calculate the Equity Value"</f>
        <v>Step 15: Calculate the Equity Value</v>
      </c>
      <c r="L10" s="401"/>
      <c r="M10" s="401"/>
      <c r="N10" s="401"/>
      <c r="O10" s="401"/>
      <c r="P10" s="408"/>
      <c r="Q10" s="395"/>
      <c r="R10" s="387"/>
      <c r="U10" s="474"/>
    </row>
    <row r="11" spans="1:24" s="105" customFormat="1" ht="12.75" customHeight="1" outlineLevel="1" x14ac:dyDescent="0.25">
      <c r="A11" s="387"/>
      <c r="B11" s="407"/>
      <c r="C11" s="401"/>
      <c r="D11" s="429"/>
      <c r="E11" s="401"/>
      <c r="F11" s="466" t="s">
        <v>191</v>
      </c>
      <c r="G11" s="401"/>
      <c r="H11" s="401"/>
      <c r="I11" s="401"/>
      <c r="J11" s="356"/>
      <c r="K11" s="428" t="s">
        <v>136</v>
      </c>
      <c r="L11" s="401"/>
      <c r="M11" s="401"/>
      <c r="N11" s="401"/>
      <c r="O11" s="401"/>
      <c r="P11" s="408"/>
      <c r="Q11" s="395"/>
      <c r="R11" s="387"/>
      <c r="U11" s="475"/>
    </row>
    <row r="12" spans="1:24" s="105" customFormat="1" ht="12.75" customHeight="1" outlineLevel="1" x14ac:dyDescent="0.25">
      <c r="A12" s="387"/>
      <c r="B12" s="407"/>
      <c r="C12" s="402" t="str">
        <f>"Step "&amp;A65&amp;": Calculate the terminal value"</f>
        <v>Step 12: Calculate the terminal value</v>
      </c>
      <c r="D12" s="401"/>
      <c r="E12" s="401"/>
      <c r="F12" s="401"/>
      <c r="G12" s="401"/>
      <c r="H12" s="401"/>
      <c r="I12" s="401"/>
      <c r="J12" s="356"/>
      <c r="K12" s="428" t="s">
        <v>137</v>
      </c>
      <c r="L12" s="401"/>
      <c r="M12" s="401"/>
      <c r="N12" s="401"/>
      <c r="O12" s="401"/>
      <c r="P12" s="408"/>
      <c r="Q12" s="395"/>
      <c r="R12" s="387"/>
      <c r="U12" s="475"/>
    </row>
    <row r="13" spans="1:24" s="105" customFormat="1" ht="12.75" customHeight="1" outlineLevel="1" x14ac:dyDescent="0.25">
      <c r="A13" s="387"/>
      <c r="B13" s="407"/>
      <c r="C13" s="428"/>
      <c r="D13" s="429" t="s">
        <v>129</v>
      </c>
      <c r="E13" s="401"/>
      <c r="F13" s="401"/>
      <c r="G13" s="401"/>
      <c r="H13" s="401"/>
      <c r="I13" s="401"/>
      <c r="J13" s="446"/>
      <c r="K13" s="401"/>
      <c r="L13" s="401"/>
      <c r="M13" s="401"/>
      <c r="N13" s="401"/>
      <c r="O13" s="401"/>
      <c r="P13" s="408"/>
      <c r="Q13" s="395"/>
      <c r="R13" s="387"/>
      <c r="U13" s="475"/>
    </row>
    <row r="14" spans="1:24" s="105" customFormat="1" ht="12.75" customHeight="1" outlineLevel="1" x14ac:dyDescent="0.25">
      <c r="A14" s="387"/>
      <c r="B14" s="407"/>
      <c r="C14" s="401"/>
      <c r="D14" s="401"/>
      <c r="E14" s="401"/>
      <c r="F14" s="401"/>
      <c r="G14" s="466" t="s">
        <v>130</v>
      </c>
      <c r="H14" s="401"/>
      <c r="I14" s="401"/>
      <c r="J14" s="446"/>
      <c r="K14" s="402" t="str">
        <f>"Step "&amp;A74&amp;": Calculate the Equity Value per share"</f>
        <v>Step 16: Calculate the Equity Value per share</v>
      </c>
      <c r="L14" s="401"/>
      <c r="M14" s="401"/>
      <c r="N14" s="401"/>
      <c r="O14" s="401"/>
      <c r="P14" s="408"/>
      <c r="Q14" s="395"/>
      <c r="R14" s="387"/>
      <c r="U14" s="475"/>
    </row>
    <row r="15" spans="1:24" s="105" customFormat="1" ht="12.75" customHeight="1" outlineLevel="1" x14ac:dyDescent="0.25">
      <c r="A15" s="387"/>
      <c r="B15" s="407"/>
      <c r="C15" s="428"/>
      <c r="D15" s="428" t="s">
        <v>194</v>
      </c>
      <c r="E15" s="401"/>
      <c r="F15" s="401"/>
      <c r="G15" s="466" t="s">
        <v>131</v>
      </c>
      <c r="H15" s="401"/>
      <c r="I15" s="401"/>
      <c r="J15" s="446"/>
      <c r="K15" s="428" t="s">
        <v>139</v>
      </c>
      <c r="L15" s="401"/>
      <c r="M15" s="401"/>
      <c r="N15" s="401"/>
      <c r="O15" s="401"/>
      <c r="P15" s="408"/>
      <c r="Q15" s="395"/>
      <c r="R15" s="387"/>
      <c r="U15" s="475"/>
    </row>
    <row r="16" spans="1:24" s="105" customFormat="1" ht="12.75" customHeight="1" outlineLevel="1" x14ac:dyDescent="0.25">
      <c r="A16" s="387"/>
      <c r="B16" s="407"/>
      <c r="C16" s="446"/>
      <c r="D16" s="356"/>
      <c r="E16" s="356" t="s">
        <v>193</v>
      </c>
      <c r="F16" s="401"/>
      <c r="G16" s="466" t="s">
        <v>132</v>
      </c>
      <c r="H16" s="401"/>
      <c r="I16" s="401"/>
      <c r="J16" s="428"/>
      <c r="K16" s="429"/>
      <c r="L16" s="401"/>
      <c r="M16" s="401"/>
      <c r="N16" s="401"/>
      <c r="O16" s="401"/>
      <c r="P16" s="408"/>
      <c r="Q16" s="395"/>
      <c r="R16" s="387"/>
    </row>
    <row r="17" spans="1:18" s="105" customFormat="1" ht="12.75" customHeight="1" outlineLevel="1" x14ac:dyDescent="0.25">
      <c r="A17" s="387"/>
      <c r="B17" s="407"/>
      <c r="C17" s="447"/>
      <c r="D17" s="401"/>
      <c r="E17" s="401"/>
      <c r="F17" s="401"/>
      <c r="G17" s="401"/>
      <c r="H17" s="401"/>
      <c r="I17" s="401"/>
      <c r="J17" s="446"/>
      <c r="K17" s="402" t="str">
        <f>"Step "&amp;A63&amp;": Sensitize the equity value per share"</f>
        <v>Step 17: Sensitize the equity value per share</v>
      </c>
      <c r="L17" s="401"/>
      <c r="M17" s="401"/>
      <c r="N17" s="401"/>
      <c r="O17" s="401"/>
      <c r="P17" s="408"/>
      <c r="Q17" s="395"/>
      <c r="R17" s="387"/>
    </row>
    <row r="18" spans="1:18" s="105" customFormat="1" ht="12.75" customHeight="1" outlineLevel="1" x14ac:dyDescent="0.25">
      <c r="A18" s="387"/>
      <c r="B18" s="411"/>
      <c r="C18" s="412"/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3"/>
      <c r="Q18" s="395"/>
      <c r="R18" s="387"/>
    </row>
    <row r="19" spans="1:18" s="105" customFormat="1" ht="12.75" customHeight="1" x14ac:dyDescent="0.25">
      <c r="A19" s="387"/>
      <c r="B19" s="396"/>
      <c r="C19" s="387"/>
      <c r="D19" s="387"/>
      <c r="E19" s="387"/>
      <c r="F19" s="387"/>
      <c r="G19" s="387"/>
      <c r="H19" s="387"/>
      <c r="I19" s="387"/>
      <c r="J19" s="387"/>
      <c r="K19" s="387"/>
      <c r="L19" s="387"/>
      <c r="M19" s="387"/>
      <c r="N19" s="387"/>
      <c r="O19" s="387"/>
      <c r="P19" s="387"/>
      <c r="Q19" s="395"/>
      <c r="R19" s="387"/>
    </row>
    <row r="20" spans="1:18" s="105" customFormat="1" ht="12.75" hidden="1" customHeight="1" x14ac:dyDescent="0.25">
      <c r="A20" s="387"/>
      <c r="B20" s="396"/>
      <c r="F20" s="387"/>
      <c r="G20" s="387"/>
      <c r="H20" s="387"/>
      <c r="I20" s="387"/>
      <c r="J20" s="387"/>
      <c r="K20" s="387"/>
      <c r="L20" s="387"/>
      <c r="M20" s="387"/>
      <c r="N20" s="387"/>
      <c r="O20" s="387"/>
      <c r="P20" s="387"/>
      <c r="Q20" s="395"/>
      <c r="R20" s="387"/>
    </row>
    <row r="21" spans="1:18" s="113" customFormat="1" ht="12.75" hidden="1" customHeight="1" x14ac:dyDescent="0.2">
      <c r="A21" s="112"/>
    </row>
    <row r="22" spans="1:18" s="6" customFormat="1" ht="18.75" thickBot="1" x14ac:dyDescent="0.3">
      <c r="A22" s="2"/>
      <c r="B22" s="239" t="str">
        <f>"Discounted Cash Flow Analysis for "&amp;Company</f>
        <v>Discounted Cash Flow Analysis for Sample Company</v>
      </c>
      <c r="C22" s="4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8" s="6" customFormat="1" ht="13.15" customHeight="1" x14ac:dyDescent="0.2">
      <c r="A23" s="2"/>
      <c r="B23" s="243" t="str">
        <f>Subheader</f>
        <v>Dollars in millions, except per share</v>
      </c>
      <c r="C23" s="7"/>
      <c r="D23" s="8"/>
      <c r="E23" s="9"/>
      <c r="F23" s="9"/>
      <c r="G23" s="9"/>
      <c r="H23" s="9"/>
      <c r="I23" s="9"/>
      <c r="J23" s="9"/>
      <c r="K23" s="9"/>
      <c r="L23" s="9"/>
      <c r="M23" s="10"/>
      <c r="N23" s="9"/>
      <c r="O23" s="9"/>
      <c r="P23" s="9"/>
    </row>
    <row r="24" spans="1:18" s="6" customFormat="1" ht="12.75" customHeight="1" x14ac:dyDescent="0.2">
      <c r="A24" s="2"/>
      <c r="B24" s="11"/>
      <c r="C24" s="12"/>
      <c r="D24" s="13"/>
      <c r="E24" s="4"/>
      <c r="F24" s="4"/>
      <c r="G24" s="4"/>
      <c r="H24" s="4"/>
      <c r="I24" s="4"/>
      <c r="J24" s="4"/>
      <c r="K24" s="4"/>
      <c r="L24" s="4"/>
      <c r="N24" s="4"/>
    </row>
    <row r="25" spans="1:18" s="6" customFormat="1" ht="12.75" customHeight="1" x14ac:dyDescent="0.2">
      <c r="A25" s="2"/>
      <c r="B25" s="11"/>
      <c r="C25" s="12"/>
      <c r="D25" s="13"/>
      <c r="E25" s="4"/>
      <c r="F25" s="4"/>
      <c r="G25" s="242"/>
      <c r="H25" s="242"/>
      <c r="I25" s="242"/>
      <c r="J25" s="242"/>
      <c r="K25" s="242"/>
      <c r="L25" s="242"/>
      <c r="M25" s="242"/>
      <c r="N25" s="242"/>
      <c r="O25" s="242"/>
      <c r="P25" s="251" t="str">
        <f>I27&amp;" - "&amp;N27</f>
        <v>2015 - 2020</v>
      </c>
    </row>
    <row r="26" spans="1:18" s="3" customFormat="1" ht="12.75" customHeight="1" x14ac:dyDescent="0.2">
      <c r="A26" s="2"/>
      <c r="G26" s="252" t="s">
        <v>28</v>
      </c>
      <c r="H26" s="253"/>
      <c r="I26" s="254"/>
      <c r="J26" s="252" t="s">
        <v>29</v>
      </c>
      <c r="K26" s="255"/>
      <c r="L26" s="255"/>
      <c r="M26" s="255"/>
      <c r="N26" s="256"/>
      <c r="O26" s="238"/>
      <c r="P26" s="257" t="s">
        <v>30</v>
      </c>
    </row>
    <row r="27" spans="1:18" s="3" customFormat="1" ht="12.75" customHeight="1" x14ac:dyDescent="0.2">
      <c r="A27" s="2"/>
      <c r="G27" s="379">
        <f>H27-1</f>
        <v>2013</v>
      </c>
      <c r="H27" s="379">
        <f>I27-1</f>
        <v>2014</v>
      </c>
      <c r="I27" s="380">
        <f>YEAR(FYE)</f>
        <v>2015</v>
      </c>
      <c r="J27" s="379">
        <f t="shared" ref="J27:N27" si="0">I27+1</f>
        <v>2016</v>
      </c>
      <c r="K27" s="379">
        <f t="shared" si="0"/>
        <v>2017</v>
      </c>
      <c r="L27" s="379">
        <f t="shared" si="0"/>
        <v>2018</v>
      </c>
      <c r="M27" s="379">
        <f t="shared" si="0"/>
        <v>2019</v>
      </c>
      <c r="N27" s="379">
        <f t="shared" si="0"/>
        <v>2020</v>
      </c>
      <c r="O27" s="238"/>
      <c r="P27" s="238"/>
    </row>
    <row r="28" spans="1:18" s="3" customFormat="1" ht="12.75" customHeight="1" x14ac:dyDescent="0.2">
      <c r="A28" s="2"/>
      <c r="I28" s="95"/>
      <c r="P28" s="6"/>
    </row>
    <row r="29" spans="1:18" s="3" customFormat="1" ht="13.15" customHeight="1" x14ac:dyDescent="0.2">
      <c r="A29" s="354"/>
      <c r="B29" s="19" t="s">
        <v>31</v>
      </c>
      <c r="C29" s="19"/>
      <c r="D29" s="19"/>
      <c r="G29" s="20">
        <v>4666</v>
      </c>
      <c r="H29" s="20">
        <v>4791.8999999999996</v>
      </c>
      <c r="I29" s="96">
        <v>4988.1000000000004</v>
      </c>
      <c r="J29" s="21">
        <f t="shared" ref="J29:N29" si="1">I29*(1+J51)</f>
        <v>5187.6240000000007</v>
      </c>
      <c r="K29" s="21">
        <f t="shared" si="1"/>
        <v>5395.1289600000009</v>
      </c>
      <c r="L29" s="21">
        <f t="shared" si="1"/>
        <v>5610.9341184000014</v>
      </c>
      <c r="M29" s="21">
        <f t="shared" si="1"/>
        <v>5835.3714831360012</v>
      </c>
      <c r="N29" s="21">
        <f t="shared" si="1"/>
        <v>6068.7863424614416</v>
      </c>
      <c r="O29" s="6"/>
      <c r="P29" s="495">
        <f>RATE($N$27-$I$27,0,I29,-N29)</f>
        <v>4.0000000000138314E-2</v>
      </c>
      <c r="Q29" s="6"/>
    </row>
    <row r="30" spans="1:18" s="3" customFormat="1" ht="13.15" customHeight="1" x14ac:dyDescent="0.2">
      <c r="A30" s="2"/>
      <c r="B30" s="19" t="s">
        <v>32</v>
      </c>
      <c r="C30" s="19"/>
      <c r="D30" s="19"/>
      <c r="G30" s="22">
        <v>3498.8</v>
      </c>
      <c r="H30" s="22">
        <v>3767.7</v>
      </c>
      <c r="I30" s="97">
        <v>3893.1</v>
      </c>
      <c r="J30" s="23">
        <f t="shared" ref="J30:N30" si="2">J29*J52</f>
        <v>4046.3467200000009</v>
      </c>
      <c r="K30" s="23">
        <f t="shared" si="2"/>
        <v>4202.8054598400013</v>
      </c>
      <c r="L30" s="23">
        <f t="shared" si="2"/>
        <v>4365.3067441152016</v>
      </c>
      <c r="M30" s="23">
        <f t="shared" si="2"/>
        <v>4534.083642396673</v>
      </c>
      <c r="N30" s="23">
        <f t="shared" si="2"/>
        <v>4709.3782017500789</v>
      </c>
      <c r="O30" s="6"/>
      <c r="P30" s="496"/>
      <c r="Q30" s="6"/>
    </row>
    <row r="31" spans="1:18" s="3" customFormat="1" ht="13.15" customHeight="1" x14ac:dyDescent="0.2">
      <c r="A31" s="2"/>
      <c r="B31" s="19" t="s">
        <v>33</v>
      </c>
      <c r="D31" s="19"/>
      <c r="G31" s="24">
        <f t="shared" ref="G31:N31" si="3">G29-G30</f>
        <v>1167.1999999999998</v>
      </c>
      <c r="H31" s="24">
        <f t="shared" si="3"/>
        <v>1024.1999999999998</v>
      </c>
      <c r="I31" s="98">
        <f t="shared" si="3"/>
        <v>1095.0000000000005</v>
      </c>
      <c r="J31" s="24">
        <f t="shared" si="3"/>
        <v>1141.2772799999998</v>
      </c>
      <c r="K31" s="24">
        <f t="shared" si="3"/>
        <v>1192.3235001599996</v>
      </c>
      <c r="L31" s="24">
        <f t="shared" si="3"/>
        <v>1245.6273742847998</v>
      </c>
      <c r="M31" s="24">
        <f t="shared" si="3"/>
        <v>1301.2878407393282</v>
      </c>
      <c r="N31" s="24">
        <f t="shared" si="3"/>
        <v>1359.4081407113626</v>
      </c>
      <c r="O31" s="6"/>
      <c r="P31" s="495">
        <f>RATE($N$27-$I$27,0,I31,-N31)</f>
        <v>4.4208320455121485E-2</v>
      </c>
      <c r="Q31" s="6"/>
    </row>
    <row r="32" spans="1:18" s="3" customFormat="1" ht="6.4" customHeight="1" x14ac:dyDescent="0.2">
      <c r="A32" s="2"/>
      <c r="G32" s="25"/>
      <c r="H32" s="25"/>
      <c r="I32" s="99"/>
      <c r="J32" s="23"/>
      <c r="K32" s="23"/>
      <c r="L32" s="23"/>
      <c r="M32" s="23"/>
      <c r="N32" s="23"/>
      <c r="O32" s="6"/>
      <c r="P32" s="496"/>
      <c r="Q32" s="6"/>
    </row>
    <row r="33" spans="1:20" s="3" customFormat="1" ht="13.15" customHeight="1" x14ac:dyDescent="0.2">
      <c r="A33" s="2"/>
      <c r="B33" s="19" t="s">
        <v>34</v>
      </c>
      <c r="C33" s="19"/>
      <c r="D33" s="19"/>
      <c r="G33" s="22">
        <v>316</v>
      </c>
      <c r="H33" s="22">
        <v>306.10000000000002</v>
      </c>
      <c r="I33" s="97">
        <v>280.3</v>
      </c>
      <c r="J33" s="23">
        <f t="shared" ref="J33:N33" si="4">J29*J53</f>
        <v>290.50694400000003</v>
      </c>
      <c r="K33" s="23">
        <f t="shared" si="4"/>
        <v>302.12722176000005</v>
      </c>
      <c r="L33" s="23">
        <f t="shared" si="4"/>
        <v>314.21231063040005</v>
      </c>
      <c r="M33" s="23">
        <f t="shared" si="4"/>
        <v>326.78080305561605</v>
      </c>
      <c r="N33" s="23">
        <f t="shared" si="4"/>
        <v>339.85203517784072</v>
      </c>
      <c r="O33" s="6"/>
      <c r="P33" s="496"/>
      <c r="Q33" s="6"/>
      <c r="R33"/>
      <c r="S33"/>
      <c r="T33"/>
    </row>
    <row r="34" spans="1:20" s="3" customFormat="1" ht="13.15" customHeight="1" x14ac:dyDescent="0.2">
      <c r="A34" s="2"/>
      <c r="B34" s="19" t="s">
        <v>35</v>
      </c>
      <c r="C34" s="19"/>
      <c r="D34" s="19"/>
      <c r="G34" s="24">
        <f t="shared" ref="G34:N34" si="5">G31-G33</f>
        <v>851.19999999999982</v>
      </c>
      <c r="H34" s="24">
        <f t="shared" si="5"/>
        <v>718.0999999999998</v>
      </c>
      <c r="I34" s="98">
        <f t="shared" si="5"/>
        <v>814.7000000000005</v>
      </c>
      <c r="J34" s="24">
        <f t="shared" si="5"/>
        <v>850.77033599999982</v>
      </c>
      <c r="K34" s="24">
        <f t="shared" si="5"/>
        <v>890.19627839999953</v>
      </c>
      <c r="L34" s="24">
        <f t="shared" si="5"/>
        <v>931.41506365439977</v>
      </c>
      <c r="M34" s="24">
        <f t="shared" si="5"/>
        <v>974.50703768371216</v>
      </c>
      <c r="N34" s="24">
        <f t="shared" si="5"/>
        <v>1019.556105533522</v>
      </c>
      <c r="O34" s="6"/>
      <c r="P34" s="495">
        <f>RATE($N$27-$I$27,0,I34,-N34)</f>
        <v>4.5881985509766958E-2</v>
      </c>
      <c r="Q34" s="6"/>
      <c r="R34"/>
      <c r="S34"/>
      <c r="T34"/>
    </row>
    <row r="35" spans="1:20" s="3" customFormat="1" ht="13.15" customHeight="1" x14ac:dyDescent="0.2">
      <c r="A35" s="2"/>
      <c r="B35" s="19" t="s">
        <v>36</v>
      </c>
      <c r="C35" s="19"/>
      <c r="D35" s="19"/>
      <c r="G35" s="22">
        <v>-85</v>
      </c>
      <c r="H35" s="22">
        <v>-90</v>
      </c>
      <c r="I35" s="97">
        <v>-115.1</v>
      </c>
      <c r="J35" s="23">
        <f t="shared" ref="J35:N35" si="6">J56*J42</f>
        <v>-127.09678800000002</v>
      </c>
      <c r="K35" s="23">
        <f t="shared" si="6"/>
        <v>-132.85505064</v>
      </c>
      <c r="L35" s="23">
        <f t="shared" si="6"/>
        <v>-138.87061943040004</v>
      </c>
      <c r="M35" s="23">
        <f t="shared" si="6"/>
        <v>-145.15486564300804</v>
      </c>
      <c r="N35" s="23">
        <f t="shared" si="6"/>
        <v>-151.71965856153605</v>
      </c>
      <c r="O35" s="6"/>
      <c r="P35" s="496"/>
      <c r="Q35" s="6"/>
      <c r="R35"/>
      <c r="S35"/>
      <c r="T35"/>
    </row>
    <row r="36" spans="1:20" s="3" customFormat="1" ht="13.15" customHeight="1" x14ac:dyDescent="0.2">
      <c r="A36" s="2"/>
      <c r="B36" s="19" t="s">
        <v>37</v>
      </c>
      <c r="C36" s="19"/>
      <c r="D36" s="19"/>
      <c r="G36" s="22">
        <v>-0.5</v>
      </c>
      <c r="H36" s="22">
        <v>-1.9</v>
      </c>
      <c r="I36" s="97">
        <v>-3.4</v>
      </c>
      <c r="J36" s="23">
        <f t="shared" ref="J36:N36" si="7">-J58</f>
        <v>-4.5</v>
      </c>
      <c r="K36" s="23">
        <f t="shared" si="7"/>
        <v>-4.5999999999999996</v>
      </c>
      <c r="L36" s="23">
        <f t="shared" si="7"/>
        <v>-4.6999999999999993</v>
      </c>
      <c r="M36" s="23">
        <f t="shared" si="7"/>
        <v>-4.7999999999999989</v>
      </c>
      <c r="N36" s="23">
        <f t="shared" si="7"/>
        <v>-4.8999999999999986</v>
      </c>
      <c r="O36" s="6"/>
      <c r="P36" s="496"/>
      <c r="Q36" s="6"/>
      <c r="R36"/>
      <c r="S36"/>
      <c r="T36"/>
    </row>
    <row r="37" spans="1:20" s="3" customFormat="1" ht="13.15" customHeight="1" x14ac:dyDescent="0.2">
      <c r="A37" s="2"/>
      <c r="B37" s="19" t="s">
        <v>38</v>
      </c>
      <c r="C37" s="19"/>
      <c r="D37" s="19"/>
      <c r="F37" s="25"/>
      <c r="G37" s="24">
        <f>SUM(G34:G36)</f>
        <v>765.69999999999982</v>
      </c>
      <c r="H37" s="24">
        <f t="shared" ref="H37:N37" si="8">SUM(H34:H36)</f>
        <v>626.19999999999982</v>
      </c>
      <c r="I37" s="98">
        <f t="shared" si="8"/>
        <v>696.2000000000005</v>
      </c>
      <c r="J37" s="24">
        <f t="shared" si="8"/>
        <v>719.17354799999976</v>
      </c>
      <c r="K37" s="24">
        <f t="shared" si="8"/>
        <v>752.74122775999956</v>
      </c>
      <c r="L37" s="24">
        <f t="shared" si="8"/>
        <v>787.84444422399974</v>
      </c>
      <c r="M37" s="24">
        <f t="shared" si="8"/>
        <v>824.55217204070414</v>
      </c>
      <c r="N37" s="24">
        <f t="shared" si="8"/>
        <v>862.9364469719859</v>
      </c>
      <c r="O37" s="6"/>
      <c r="P37" s="495">
        <f>RATE($N$27-$I$27,0,I37,-N37)</f>
        <v>4.3876110382791864E-2</v>
      </c>
      <c r="Q37" s="6"/>
      <c r="R37"/>
      <c r="S37"/>
      <c r="T37"/>
    </row>
    <row r="38" spans="1:20" s="3" customFormat="1" ht="13.15" customHeight="1" x14ac:dyDescent="0.2">
      <c r="A38" s="2"/>
      <c r="B38" s="19" t="s">
        <v>39</v>
      </c>
      <c r="C38" s="19"/>
      <c r="D38" s="19"/>
      <c r="E38" s="28">
        <v>0.38</v>
      </c>
      <c r="G38" s="23">
        <f t="shared" ref="G38:N38" si="9">-G37*$E$38</f>
        <v>-290.96599999999995</v>
      </c>
      <c r="H38" s="23">
        <f t="shared" si="9"/>
        <v>-237.95599999999993</v>
      </c>
      <c r="I38" s="99">
        <f t="shared" si="9"/>
        <v>-264.55600000000021</v>
      </c>
      <c r="J38" s="23">
        <f t="shared" si="9"/>
        <v>-273.28594823999993</v>
      </c>
      <c r="K38" s="23">
        <f t="shared" si="9"/>
        <v>-286.04166654879981</v>
      </c>
      <c r="L38" s="23">
        <f t="shared" si="9"/>
        <v>-299.38088880511992</v>
      </c>
      <c r="M38" s="23">
        <f t="shared" si="9"/>
        <v>-313.32982537546758</v>
      </c>
      <c r="N38" s="23">
        <f t="shared" si="9"/>
        <v>-327.91584984935463</v>
      </c>
      <c r="O38" s="6"/>
      <c r="P38" s="496"/>
      <c r="Q38" s="6"/>
      <c r="R38" s="6"/>
    </row>
    <row r="39" spans="1:20" s="3" customFormat="1" ht="13.15" customHeight="1" x14ac:dyDescent="0.2">
      <c r="A39" s="354"/>
      <c r="B39" s="19" t="s">
        <v>40</v>
      </c>
      <c r="C39" s="19"/>
      <c r="D39" s="19"/>
      <c r="G39" s="24">
        <f>SUM(G37:G38)</f>
        <v>474.73399999999987</v>
      </c>
      <c r="H39" s="24">
        <f t="shared" ref="H39:N39" si="10">SUM(H37:H38)</f>
        <v>388.24399999999991</v>
      </c>
      <c r="I39" s="98">
        <f t="shared" si="10"/>
        <v>431.64400000000029</v>
      </c>
      <c r="J39" s="24">
        <f t="shared" si="10"/>
        <v>445.88759975999983</v>
      </c>
      <c r="K39" s="24">
        <f t="shared" si="10"/>
        <v>466.69956121119975</v>
      </c>
      <c r="L39" s="24">
        <f t="shared" si="10"/>
        <v>488.46355541887982</v>
      </c>
      <c r="M39" s="24">
        <f t="shared" si="10"/>
        <v>511.22234666523656</v>
      </c>
      <c r="N39" s="24">
        <f t="shared" si="10"/>
        <v>535.02059712263122</v>
      </c>
      <c r="O39" s="6"/>
      <c r="P39" s="495">
        <f>RATE($N$27-$I$27,0,I39,-N39)</f>
        <v>4.3876110382792086E-2</v>
      </c>
      <c r="Q39" s="6"/>
    </row>
    <row r="40" spans="1:20" s="3" customFormat="1" ht="6.4" customHeight="1" x14ac:dyDescent="0.2">
      <c r="A40" s="2"/>
      <c r="G40" s="25"/>
      <c r="H40" s="25"/>
      <c r="I40" s="99"/>
      <c r="J40" s="25"/>
      <c r="K40" s="25"/>
      <c r="L40" s="25"/>
      <c r="M40" s="25"/>
      <c r="N40" s="25"/>
      <c r="O40" s="6"/>
      <c r="P40" s="496"/>
      <c r="Q40" s="6"/>
    </row>
    <row r="41" spans="1:20" s="3" customFormat="1" ht="13.15" customHeight="1" x14ac:dyDescent="0.2">
      <c r="A41" s="2"/>
      <c r="B41" s="19" t="s">
        <v>42</v>
      </c>
      <c r="C41" s="19"/>
      <c r="D41" s="19"/>
      <c r="G41" s="25"/>
      <c r="H41" s="25">
        <f t="shared" ref="H41:N41" si="11">-(H35+H36)</f>
        <v>91.9</v>
      </c>
      <c r="I41" s="99">
        <f t="shared" si="11"/>
        <v>118.5</v>
      </c>
      <c r="J41" s="25">
        <f t="shared" si="11"/>
        <v>131.596788</v>
      </c>
      <c r="K41" s="25">
        <f t="shared" si="11"/>
        <v>137.45505064</v>
      </c>
      <c r="L41" s="25">
        <f t="shared" si="11"/>
        <v>143.57061943040003</v>
      </c>
      <c r="M41" s="25">
        <f t="shared" si="11"/>
        <v>149.95486564300805</v>
      </c>
      <c r="N41" s="25">
        <f t="shared" si="11"/>
        <v>156.61965856153606</v>
      </c>
      <c r="O41" s="6"/>
      <c r="P41" s="496"/>
      <c r="Q41" s="6"/>
    </row>
    <row r="42" spans="1:20" s="3" customFormat="1" ht="13.15" customHeight="1" x14ac:dyDescent="0.2">
      <c r="A42" s="2"/>
      <c r="B42" s="19" t="s">
        <v>45</v>
      </c>
      <c r="C42" s="19"/>
      <c r="D42" s="19"/>
      <c r="G42" s="25"/>
      <c r="H42" s="22">
        <v>-95.8</v>
      </c>
      <c r="I42" s="97">
        <v>-120.6</v>
      </c>
      <c r="J42" s="23">
        <f>-J55*J29</f>
        <v>-129.69060000000002</v>
      </c>
      <c r="K42" s="23">
        <f t="shared" ref="K42:N42" si="12">-K55*K29</f>
        <v>-134.87822400000002</v>
      </c>
      <c r="L42" s="23">
        <f t="shared" si="12"/>
        <v>-140.27335296000004</v>
      </c>
      <c r="M42" s="23">
        <f t="shared" si="12"/>
        <v>-145.88428707840004</v>
      </c>
      <c r="N42" s="23">
        <f t="shared" si="12"/>
        <v>-151.71965856153605</v>
      </c>
      <c r="O42" s="6"/>
      <c r="P42" s="496"/>
      <c r="Q42" s="6"/>
    </row>
    <row r="43" spans="1:20" s="3" customFormat="1" ht="13.15" customHeight="1" x14ac:dyDescent="0.2">
      <c r="A43" s="2"/>
      <c r="B43" s="19" t="s">
        <v>49</v>
      </c>
      <c r="C43" s="19"/>
      <c r="D43" s="19"/>
      <c r="G43" s="25"/>
      <c r="H43" s="22">
        <v>-2</v>
      </c>
      <c r="I43" s="97">
        <v>-4</v>
      </c>
      <c r="J43" s="23">
        <f t="shared" ref="J43:N43" si="13">-J57</f>
        <v>-5</v>
      </c>
      <c r="K43" s="23">
        <f t="shared" si="13"/>
        <v>-5</v>
      </c>
      <c r="L43" s="23">
        <f t="shared" si="13"/>
        <v>-5</v>
      </c>
      <c r="M43" s="23">
        <f t="shared" si="13"/>
        <v>-5</v>
      </c>
      <c r="N43" s="23">
        <f t="shared" si="13"/>
        <v>-5</v>
      </c>
      <c r="O43" s="6"/>
      <c r="P43" s="496"/>
      <c r="Q43" s="6"/>
    </row>
    <row r="44" spans="1:20" s="3" customFormat="1" ht="13.15" customHeight="1" x14ac:dyDescent="0.2">
      <c r="A44" s="2"/>
      <c r="B44" s="32" t="s">
        <v>53</v>
      </c>
      <c r="C44" s="19"/>
      <c r="D44" s="19"/>
      <c r="E44" s="19"/>
      <c r="F44" s="19"/>
      <c r="G44" s="25"/>
      <c r="H44" s="22">
        <v>-19.2</v>
      </c>
      <c r="I44" s="97">
        <v>-20</v>
      </c>
      <c r="J44" s="23">
        <f t="shared" ref="J44:N44" si="14">J59*J29</f>
        <v>-20.750496000000002</v>
      </c>
      <c r="K44" s="23">
        <f t="shared" si="14"/>
        <v>-21.580515840000004</v>
      </c>
      <c r="L44" s="23">
        <f t="shared" si="14"/>
        <v>-22.443736473600005</v>
      </c>
      <c r="M44" s="23">
        <f t="shared" si="14"/>
        <v>-23.341485932544007</v>
      </c>
      <c r="N44" s="23">
        <f t="shared" si="14"/>
        <v>-24.275145369845767</v>
      </c>
      <c r="O44" s="6"/>
      <c r="P44" s="496"/>
      <c r="Q44" s="33"/>
      <c r="R44" s="6"/>
    </row>
    <row r="45" spans="1:20" s="39" customFormat="1" ht="13.15" customHeight="1" x14ac:dyDescent="0.2">
      <c r="A45" s="465" t="s">
        <v>23</v>
      </c>
      <c r="B45" s="34" t="s">
        <v>54</v>
      </c>
      <c r="C45" s="34"/>
      <c r="D45" s="34"/>
      <c r="E45" s="4"/>
      <c r="F45" s="4"/>
      <c r="G45" s="35"/>
      <c r="H45" s="36">
        <f>SUM(H39:H44)</f>
        <v>363.14399999999989</v>
      </c>
      <c r="I45" s="150">
        <f>SUM(I39:I44)</f>
        <v>405.54400000000021</v>
      </c>
      <c r="J45" s="467">
        <f t="shared" ref="J45:N45" si="15">SUM(J39:J44)</f>
        <v>422.04329175999987</v>
      </c>
      <c r="K45" s="468">
        <f t="shared" si="15"/>
        <v>442.69587201119975</v>
      </c>
      <c r="L45" s="468">
        <f t="shared" si="15"/>
        <v>464.31708541567991</v>
      </c>
      <c r="M45" s="468">
        <f t="shared" si="15"/>
        <v>486.95143929730062</v>
      </c>
      <c r="N45" s="470">
        <f t="shared" si="15"/>
        <v>510.64545175278556</v>
      </c>
      <c r="O45" s="4"/>
      <c r="P45" s="497">
        <f>RATE($N$27-$I$27,0,I45,-N45)</f>
        <v>4.7167843799333226E-2</v>
      </c>
      <c r="Q45" s="4"/>
      <c r="R45" s="4"/>
    </row>
    <row r="46" spans="1:20" s="39" customFormat="1" ht="13.15" customHeight="1" x14ac:dyDescent="0.2">
      <c r="A46" s="2"/>
      <c r="B46" s="34"/>
      <c r="C46" s="34"/>
      <c r="D46" s="34"/>
      <c r="E46" s="4"/>
      <c r="F46" s="4"/>
      <c r="G46" s="35"/>
      <c r="H46" s="37"/>
      <c r="I46" s="37"/>
      <c r="J46" s="37"/>
      <c r="K46" s="37"/>
      <c r="L46" s="37"/>
      <c r="M46" s="37"/>
      <c r="N46" s="37"/>
      <c r="O46" s="4"/>
      <c r="P46" s="38"/>
      <c r="Q46" s="4"/>
      <c r="R46" s="4"/>
    </row>
    <row r="47" spans="1:20" s="6" customFormat="1" ht="13.15" customHeight="1" x14ac:dyDescent="0.2">
      <c r="A47" s="2"/>
      <c r="B47" s="40"/>
      <c r="C47" s="40"/>
      <c r="D47" s="40"/>
      <c r="E47" s="12"/>
      <c r="F47" s="12"/>
      <c r="H47" s="41"/>
      <c r="I47" s="41"/>
      <c r="J47" s="41"/>
      <c r="K47" s="41"/>
      <c r="L47" s="41"/>
      <c r="M47" s="41"/>
      <c r="N47" s="41"/>
    </row>
    <row r="48" spans="1:20" s="3" customFormat="1" ht="12.75" customHeight="1" x14ac:dyDescent="0.2">
      <c r="A48" s="2"/>
      <c r="G48" s="14" t="s">
        <v>28</v>
      </c>
      <c r="H48" s="15"/>
      <c r="I48" s="16"/>
      <c r="J48" s="14" t="s">
        <v>29</v>
      </c>
      <c r="K48" s="17"/>
      <c r="L48" s="17"/>
      <c r="M48" s="17"/>
      <c r="N48" s="18"/>
    </row>
    <row r="49" spans="1:21" s="3" customFormat="1" ht="13.15" customHeight="1" x14ac:dyDescent="0.2">
      <c r="A49" s="2"/>
      <c r="B49" s="42" t="s">
        <v>55</v>
      </c>
      <c r="G49" s="379">
        <f t="shared" ref="G49:N49" si="16">G27</f>
        <v>2013</v>
      </c>
      <c r="H49" s="379">
        <f t="shared" si="16"/>
        <v>2014</v>
      </c>
      <c r="I49" s="380">
        <f t="shared" si="16"/>
        <v>2015</v>
      </c>
      <c r="J49" s="379">
        <f t="shared" si="16"/>
        <v>2016</v>
      </c>
      <c r="K49" s="379">
        <f t="shared" si="16"/>
        <v>2017</v>
      </c>
      <c r="L49" s="379">
        <f t="shared" si="16"/>
        <v>2018</v>
      </c>
      <c r="M49" s="379">
        <f t="shared" si="16"/>
        <v>2019</v>
      </c>
      <c r="N49" s="379">
        <f t="shared" si="16"/>
        <v>2020</v>
      </c>
      <c r="P49" s="6"/>
      <c r="Q49" s="43" t="s">
        <v>56</v>
      </c>
    </row>
    <row r="50" spans="1:21" s="3" customFormat="1" ht="12.75" customHeight="1" x14ac:dyDescent="0.2">
      <c r="A50" s="2"/>
      <c r="G50" s="6"/>
      <c r="H50" s="6"/>
      <c r="I50" s="95"/>
      <c r="J50" s="6"/>
      <c r="K50" s="6"/>
      <c r="L50" s="6"/>
      <c r="M50" s="6"/>
      <c r="N50" s="6"/>
      <c r="P50" s="6"/>
      <c r="S50" s="29" t="s">
        <v>41</v>
      </c>
      <c r="T50" s="26"/>
      <c r="U50" s="27"/>
    </row>
    <row r="51" spans="1:21" s="6" customFormat="1" ht="13.15" customHeight="1" x14ac:dyDescent="0.2">
      <c r="A51" s="2"/>
      <c r="C51" s="44" t="s">
        <v>57</v>
      </c>
      <c r="G51" s="537"/>
      <c r="H51" s="159">
        <f>H29/G29-1</f>
        <v>2.6982426060865761E-2</v>
      </c>
      <c r="I51" s="100">
        <f>I29/H29-1</f>
        <v>4.0944093157202932E-2</v>
      </c>
      <c r="J51" s="160">
        <v>0.04</v>
      </c>
      <c r="K51" s="159">
        <f t="shared" ref="K51:N53" si="17">J51</f>
        <v>0.04</v>
      </c>
      <c r="L51" s="159">
        <f t="shared" si="17"/>
        <v>0.04</v>
      </c>
      <c r="M51" s="159">
        <f t="shared" si="17"/>
        <v>0.04</v>
      </c>
      <c r="N51" s="159">
        <f t="shared" si="17"/>
        <v>0.04</v>
      </c>
      <c r="Q51" s="160"/>
      <c r="S51" s="30"/>
      <c r="T51" s="220" t="s">
        <v>43</v>
      </c>
      <c r="U51" s="221" t="s">
        <v>44</v>
      </c>
    </row>
    <row r="52" spans="1:21" s="3" customFormat="1" ht="13.15" customHeight="1" x14ac:dyDescent="0.2">
      <c r="A52" s="2"/>
      <c r="B52" s="6"/>
      <c r="C52" s="44" t="s">
        <v>58</v>
      </c>
      <c r="F52" s="6"/>
      <c r="G52" s="159">
        <f>G30/G29</f>
        <v>0.74984997856836699</v>
      </c>
      <c r="H52" s="159">
        <f t="shared" ref="H52:I52" si="18">H30/H29</f>
        <v>0.78626432104175803</v>
      </c>
      <c r="I52" s="100">
        <f t="shared" si="18"/>
        <v>0.78047753653695784</v>
      </c>
      <c r="J52" s="160">
        <v>0.78</v>
      </c>
      <c r="K52" s="159">
        <f t="shared" ref="K52:N52" si="19">J52+$Q52</f>
        <v>0.77900000000000003</v>
      </c>
      <c r="L52" s="159">
        <f t="shared" si="19"/>
        <v>0.77800000000000002</v>
      </c>
      <c r="M52" s="159">
        <f t="shared" si="19"/>
        <v>0.77700000000000002</v>
      </c>
      <c r="N52" s="159">
        <f t="shared" si="19"/>
        <v>0.77600000000000002</v>
      </c>
      <c r="Q52" s="160">
        <v>-1E-3</v>
      </c>
      <c r="S52" s="216" t="s">
        <v>46</v>
      </c>
      <c r="T52" s="218" t="s">
        <v>47</v>
      </c>
      <c r="U52" s="217" t="s">
        <v>48</v>
      </c>
    </row>
    <row r="53" spans="1:21" s="3" customFormat="1" ht="13.15" customHeight="1" x14ac:dyDescent="0.2">
      <c r="A53" s="2"/>
      <c r="B53" s="6"/>
      <c r="C53" s="44" t="s">
        <v>59</v>
      </c>
      <c r="F53" s="6"/>
      <c r="G53" s="159">
        <f>G33/G29</f>
        <v>6.7723960565795119E-2</v>
      </c>
      <c r="H53" s="159">
        <f>H33/H29</f>
        <v>6.3878628518959091E-2</v>
      </c>
      <c r="I53" s="100">
        <f>I33/I29</f>
        <v>5.6193741103827105E-2</v>
      </c>
      <c r="J53" s="160">
        <v>5.6000000000000001E-2</v>
      </c>
      <c r="K53" s="159">
        <f t="shared" si="17"/>
        <v>5.6000000000000001E-2</v>
      </c>
      <c r="L53" s="159">
        <f t="shared" si="17"/>
        <v>5.6000000000000001E-2</v>
      </c>
      <c r="M53" s="159">
        <f t="shared" si="17"/>
        <v>5.6000000000000001E-2</v>
      </c>
      <c r="N53" s="159">
        <f t="shared" si="17"/>
        <v>5.6000000000000001E-2</v>
      </c>
      <c r="Q53" s="160"/>
      <c r="S53" s="215" t="s">
        <v>50</v>
      </c>
      <c r="T53" s="219" t="s">
        <v>51</v>
      </c>
      <c r="U53" s="31" t="s">
        <v>52</v>
      </c>
    </row>
    <row r="54" spans="1:21" s="3" customFormat="1" ht="13.15" customHeight="1" x14ac:dyDescent="0.2">
      <c r="A54" s="2"/>
      <c r="C54" s="45" t="s">
        <v>60</v>
      </c>
      <c r="G54" s="159">
        <f>G34/G29</f>
        <v>0.18242606086583793</v>
      </c>
      <c r="H54" s="159">
        <f t="shared" ref="H54:N54" si="20">H34/H29</f>
        <v>0.14985705043928294</v>
      </c>
      <c r="I54" s="100">
        <f t="shared" si="20"/>
        <v>0.16332872235921503</v>
      </c>
      <c r="J54" s="159">
        <f t="shared" si="20"/>
        <v>0.16399999999999995</v>
      </c>
      <c r="K54" s="159">
        <f t="shared" si="20"/>
        <v>0.1649999999999999</v>
      </c>
      <c r="L54" s="159">
        <f t="shared" si="20"/>
        <v>0.16599999999999993</v>
      </c>
      <c r="M54" s="159">
        <f t="shared" si="20"/>
        <v>0.16699999999999998</v>
      </c>
      <c r="N54" s="159">
        <f t="shared" si="20"/>
        <v>0.16799999999999995</v>
      </c>
      <c r="Q54" s="160"/>
    </row>
    <row r="55" spans="1:21" s="3" customFormat="1" ht="13.15" customHeight="1" x14ac:dyDescent="0.2">
      <c r="A55" s="2"/>
      <c r="C55" s="45" t="s">
        <v>61</v>
      </c>
      <c r="H55" s="159">
        <f>IF(H29=0,0,-H42/H29)</f>
        <v>1.9992069951376281E-2</v>
      </c>
      <c r="I55" s="100">
        <f>IF(I29=0,0,-I42/I29)</f>
        <v>2.4177542551272024E-2</v>
      </c>
      <c r="J55" s="160">
        <v>2.5000000000000001E-2</v>
      </c>
      <c r="K55" s="159">
        <f t="shared" ref="K55:N59" si="21">J55</f>
        <v>2.5000000000000001E-2</v>
      </c>
      <c r="L55" s="159">
        <f t="shared" si="21"/>
        <v>2.5000000000000001E-2</v>
      </c>
      <c r="M55" s="159">
        <f t="shared" si="21"/>
        <v>2.5000000000000001E-2</v>
      </c>
      <c r="N55" s="159">
        <f t="shared" si="21"/>
        <v>2.5000000000000001E-2</v>
      </c>
      <c r="Q55" s="160"/>
    </row>
    <row r="56" spans="1:21" s="3" customFormat="1" ht="13.15" customHeight="1" x14ac:dyDescent="0.2">
      <c r="A56" s="2"/>
      <c r="C56" s="45" t="s">
        <v>62</v>
      </c>
      <c r="G56" s="46"/>
      <c r="H56" s="159">
        <f>IF(H42=0,0,H35/H42)</f>
        <v>0.93945720250521925</v>
      </c>
      <c r="I56" s="100">
        <f>IF(I42=0,0,I35/I42)</f>
        <v>0.95439469320066339</v>
      </c>
      <c r="J56" s="160">
        <v>0.98</v>
      </c>
      <c r="K56" s="159">
        <f t="shared" ref="K56:N56" si="22">J56+$Q56</f>
        <v>0.98499999999999999</v>
      </c>
      <c r="L56" s="159">
        <f t="shared" si="22"/>
        <v>0.99</v>
      </c>
      <c r="M56" s="159">
        <f t="shared" si="22"/>
        <v>0.995</v>
      </c>
      <c r="N56" s="159">
        <f t="shared" si="22"/>
        <v>1</v>
      </c>
      <c r="Q56" s="160">
        <v>5.0000000000000001E-3</v>
      </c>
    </row>
    <row r="57" spans="1:21" s="3" customFormat="1" ht="13.15" customHeight="1" x14ac:dyDescent="0.2">
      <c r="A57" s="2"/>
      <c r="C57" s="45" t="s">
        <v>63</v>
      </c>
      <c r="H57" s="47">
        <f>-H43</f>
        <v>2</v>
      </c>
      <c r="I57" s="101">
        <f>-I43</f>
        <v>4</v>
      </c>
      <c r="J57" s="48">
        <v>5</v>
      </c>
      <c r="K57" s="49">
        <f t="shared" si="21"/>
        <v>5</v>
      </c>
      <c r="L57" s="49">
        <f t="shared" si="21"/>
        <v>5</v>
      </c>
      <c r="M57" s="49">
        <f t="shared" si="21"/>
        <v>5</v>
      </c>
      <c r="N57" s="49">
        <f t="shared" si="21"/>
        <v>5</v>
      </c>
      <c r="Q57" s="48"/>
      <c r="U57" s="50"/>
    </row>
    <row r="58" spans="1:21" s="3" customFormat="1" ht="13.15" customHeight="1" x14ac:dyDescent="0.2">
      <c r="A58" s="2"/>
      <c r="C58" s="45" t="s">
        <v>64</v>
      </c>
      <c r="H58" s="25">
        <f>-H36</f>
        <v>1.9</v>
      </c>
      <c r="I58" s="99">
        <f>-I36</f>
        <v>3.4</v>
      </c>
      <c r="J58" s="51">
        <v>4.5</v>
      </c>
      <c r="K58" s="94">
        <f t="shared" ref="K58:N58" si="23">J58+$Q58</f>
        <v>4.5999999999999996</v>
      </c>
      <c r="L58" s="94">
        <f t="shared" si="23"/>
        <v>4.6999999999999993</v>
      </c>
      <c r="M58" s="94">
        <f t="shared" si="23"/>
        <v>4.7999999999999989</v>
      </c>
      <c r="N58" s="94">
        <f t="shared" si="23"/>
        <v>4.8999999999999986</v>
      </c>
      <c r="Q58" s="51">
        <v>0.1</v>
      </c>
    </row>
    <row r="59" spans="1:21" s="3" customFormat="1" ht="13.15" customHeight="1" x14ac:dyDescent="0.2">
      <c r="A59" s="2"/>
      <c r="C59" s="45" t="s">
        <v>65</v>
      </c>
      <c r="G59" s="1"/>
      <c r="H59" s="159">
        <f>IF(H29=0,0,H44/H29)</f>
        <v>-4.0067614098791716E-3</v>
      </c>
      <c r="I59" s="100">
        <f>IF(I29=0,0,I44/I29)</f>
        <v>-4.0095427116537356E-3</v>
      </c>
      <c r="J59" s="160">
        <v>-4.0000000000000001E-3</v>
      </c>
      <c r="K59" s="159">
        <f t="shared" si="21"/>
        <v>-4.0000000000000001E-3</v>
      </c>
      <c r="L59" s="159">
        <f t="shared" si="21"/>
        <v>-4.0000000000000001E-3</v>
      </c>
      <c r="M59" s="159">
        <f t="shared" si="21"/>
        <v>-4.0000000000000001E-3</v>
      </c>
      <c r="N59" s="159">
        <f t="shared" si="21"/>
        <v>-4.0000000000000001E-3</v>
      </c>
      <c r="Q59" s="160"/>
    </row>
    <row r="60" spans="1:21" s="3" customFormat="1" ht="13.15" customHeight="1" x14ac:dyDescent="0.2">
      <c r="A60" s="2"/>
      <c r="B60" s="1"/>
      <c r="C60" s="1"/>
      <c r="D60" s="1"/>
      <c r="E60" s="1"/>
      <c r="G60" s="19"/>
      <c r="H60" s="46"/>
      <c r="I60" s="46"/>
      <c r="J60" s="52"/>
      <c r="K60" s="53"/>
      <c r="L60" s="53"/>
      <c r="M60" s="53"/>
      <c r="N60" s="53"/>
      <c r="Q60" s="1"/>
    </row>
    <row r="61" spans="1:21" ht="13.15" customHeight="1" x14ac:dyDescent="0.2">
      <c r="A61" s="2"/>
      <c r="C61" s="54" t="s">
        <v>66</v>
      </c>
      <c r="D61" s="55"/>
      <c r="E61" s="56"/>
      <c r="F61" s="56"/>
      <c r="G61" s="57">
        <v>0.08</v>
      </c>
      <c r="I61" s="58" t="s">
        <v>67</v>
      </c>
      <c r="J61" s="59"/>
      <c r="K61" s="60"/>
      <c r="L61" s="60"/>
      <c r="M61" s="60"/>
      <c r="N61" s="61"/>
    </row>
    <row r="62" spans="1:21" ht="13.15" customHeight="1" x14ac:dyDescent="0.2">
      <c r="A62" s="2"/>
      <c r="C62" s="62" t="s">
        <v>68</v>
      </c>
      <c r="D62" s="63"/>
      <c r="E62" s="41"/>
      <c r="F62" s="41"/>
      <c r="G62" s="64">
        <v>0.03</v>
      </c>
      <c r="J62" s="65"/>
      <c r="K62" s="66" t="s">
        <v>57</v>
      </c>
      <c r="L62" s="67"/>
      <c r="M62" s="67"/>
      <c r="N62" s="67"/>
      <c r="Q62" s="68" t="s">
        <v>69</v>
      </c>
      <c r="R62" s="69" t="s">
        <v>70</v>
      </c>
    </row>
    <row r="63" spans="1:21" ht="13.15" customHeight="1" x14ac:dyDescent="0.2">
      <c r="A63" s="465">
        <v>17</v>
      </c>
      <c r="J63" s="187">
        <v>0</v>
      </c>
      <c r="K63" s="188">
        <v>0.03</v>
      </c>
      <c r="L63" s="189">
        <f>K63+$R$63</f>
        <v>3.4999999999999996E-2</v>
      </c>
      <c r="M63" s="189">
        <f>L63+$R$63</f>
        <v>3.9999999999999994E-2</v>
      </c>
      <c r="N63" s="189">
        <f>M63+$R$63</f>
        <v>4.4999999999999991E-2</v>
      </c>
      <c r="Q63" s="70">
        <v>3.0000000000000001E-3</v>
      </c>
      <c r="R63" s="70">
        <v>5.0000000000000001E-3</v>
      </c>
    </row>
    <row r="64" spans="1:21" ht="13.15" customHeight="1" x14ac:dyDescent="0.2">
      <c r="A64" s="465">
        <v>11</v>
      </c>
      <c r="C64" s="19" t="s">
        <v>71</v>
      </c>
      <c r="D64" s="19"/>
      <c r="E64" s="3"/>
      <c r="F64" s="3"/>
      <c r="G64" s="47">
        <v>9.9999999999999995E-7</v>
      </c>
      <c r="J64" s="139">
        <f>J65-$Q$63</f>
        <v>0.76800000000000002</v>
      </c>
      <c r="K64" s="71"/>
      <c r="L64" s="72"/>
      <c r="M64" s="72"/>
      <c r="N64" s="73"/>
    </row>
    <row r="65" spans="1:22" ht="13.15" customHeight="1" x14ac:dyDescent="0.2">
      <c r="A65" s="465">
        <v>12</v>
      </c>
      <c r="C65" s="74" t="s">
        <v>72</v>
      </c>
      <c r="D65" s="74"/>
      <c r="E65" s="6"/>
      <c r="F65" s="6"/>
      <c r="G65" s="75">
        <v>9.9999999999999995E-7</v>
      </c>
      <c r="J65" s="189">
        <f>J66-$Q$63</f>
        <v>0.77100000000000002</v>
      </c>
      <c r="K65" s="76"/>
      <c r="L65" s="77"/>
      <c r="M65" s="77"/>
      <c r="N65" s="78"/>
      <c r="Q65" s="551" t="str">
        <f>"Steps to complete the data table"</f>
        <v>Steps to complete the data table</v>
      </c>
      <c r="R65" s="552"/>
      <c r="S65" s="552"/>
      <c r="T65" s="552"/>
      <c r="U65" s="552"/>
      <c r="V65" s="553"/>
    </row>
    <row r="66" spans="1:22" ht="13.15" customHeight="1" x14ac:dyDescent="0.2">
      <c r="A66" s="465">
        <v>13</v>
      </c>
      <c r="C66" s="19" t="s">
        <v>73</v>
      </c>
      <c r="D66" s="19"/>
      <c r="E66" s="3"/>
      <c r="F66" s="3"/>
      <c r="G66" s="25">
        <v>9.9999999999999995E-7</v>
      </c>
      <c r="I66" s="79"/>
      <c r="J66" s="189">
        <f>J67-$Q$63</f>
        <v>0.77400000000000002</v>
      </c>
      <c r="K66" s="76"/>
      <c r="L66" s="77"/>
      <c r="M66" s="77"/>
      <c r="N66" s="78"/>
      <c r="Q66" s="554" t="str">
        <f>"1) Link the ''Output Cell'' "&amp;ADDRESS(ROW(J63),COLUMN(J63),4) &amp;" to the cell you want to ''study'' "&amp;ADDRESS(ROW(G74),COLUMN(G74),4)</f>
        <v>1) Link the ''Output Cell'' J63 to the cell you want to ''study'' G74</v>
      </c>
      <c r="R66" s="200"/>
      <c r="S66" s="200"/>
      <c r="T66" s="200"/>
      <c r="U66" s="200"/>
      <c r="V66" s="555"/>
    </row>
    <row r="67" spans="1:22" ht="13.15" customHeight="1" x14ac:dyDescent="0.2">
      <c r="A67" s="465">
        <v>14</v>
      </c>
      <c r="C67" s="80" t="s">
        <v>74</v>
      </c>
      <c r="D67" s="80"/>
      <c r="E67" s="81"/>
      <c r="F67" s="81"/>
      <c r="G67" s="102">
        <v>9.9999999999999995E-7</v>
      </c>
      <c r="J67" s="189">
        <f>J68-$Q$63</f>
        <v>0.77700000000000002</v>
      </c>
      <c r="K67" s="76"/>
      <c r="L67" s="77"/>
      <c r="M67" s="77"/>
      <c r="N67" s="78"/>
      <c r="Q67" s="554" t="str">
        <f>"2) Highlight the range "&amp;ADDRESS(ROW(J63),COLUMN(J63),4)&amp;":"&amp;ADDRESS(ROW(N72),COLUMN(N72),4)</f>
        <v>2) Highlight the range J63:N72</v>
      </c>
      <c r="R67" s="200"/>
      <c r="S67" s="200"/>
      <c r="T67" s="200"/>
      <c r="U67" s="200"/>
      <c r="V67" s="555"/>
    </row>
    <row r="68" spans="1:22" ht="13.15" customHeight="1" x14ac:dyDescent="0.2">
      <c r="A68" s="2"/>
      <c r="C68" s="3" t="s">
        <v>75</v>
      </c>
      <c r="D68" s="19"/>
      <c r="E68" s="3"/>
      <c r="F68" s="3"/>
      <c r="G68" s="82">
        <v>-523</v>
      </c>
      <c r="I68" s="83" t="s">
        <v>76</v>
      </c>
      <c r="J68" s="142">
        <v>0.78</v>
      </c>
      <c r="K68" s="76"/>
      <c r="L68" s="77"/>
      <c r="M68" s="77"/>
      <c r="N68" s="78"/>
      <c r="Q68" s="554" t="s">
        <v>77</v>
      </c>
      <c r="R68" s="200"/>
      <c r="S68" s="200"/>
      <c r="T68" s="200"/>
      <c r="U68" s="200"/>
      <c r="V68" s="555"/>
    </row>
    <row r="69" spans="1:22" ht="13.15" customHeight="1" x14ac:dyDescent="0.2">
      <c r="A69" s="2"/>
      <c r="C69" s="3" t="s">
        <v>78</v>
      </c>
      <c r="D69" s="19"/>
      <c r="E69" s="3"/>
      <c r="F69" s="3"/>
      <c r="G69" s="51">
        <v>48.1</v>
      </c>
      <c r="J69" s="189">
        <f>J68+$Q$63</f>
        <v>0.78300000000000003</v>
      </c>
      <c r="K69" s="76"/>
      <c r="L69" s="77"/>
      <c r="M69" s="77"/>
      <c r="N69" s="78"/>
      <c r="Q69" s="560" t="s">
        <v>104</v>
      </c>
      <c r="R69" s="200"/>
      <c r="S69" s="200"/>
      <c r="T69" s="200"/>
      <c r="U69" s="200"/>
      <c r="V69" s="555"/>
    </row>
    <row r="70" spans="1:22" ht="13.15" customHeight="1" x14ac:dyDescent="0.2">
      <c r="A70" s="465">
        <v>15</v>
      </c>
      <c r="C70" s="80" t="s">
        <v>79</v>
      </c>
      <c r="D70" s="80"/>
      <c r="E70" s="81"/>
      <c r="F70" s="81"/>
      <c r="G70" s="102">
        <v>9.9999999999999995E-7</v>
      </c>
      <c r="J70" s="189">
        <f>J69+$Q$63</f>
        <v>0.78600000000000003</v>
      </c>
      <c r="K70" s="76"/>
      <c r="L70" s="77"/>
      <c r="M70" s="77"/>
      <c r="N70" s="78"/>
      <c r="Q70" s="560" t="s">
        <v>80</v>
      </c>
      <c r="R70" s="200"/>
      <c r="S70" s="200"/>
      <c r="T70" s="200"/>
      <c r="U70" s="200"/>
      <c r="V70" s="555"/>
    </row>
    <row r="71" spans="1:22" ht="13.15" customHeight="1" x14ac:dyDescent="0.2">
      <c r="A71" s="2"/>
      <c r="J71" s="189">
        <f>J70+$Q$63</f>
        <v>0.78900000000000003</v>
      </c>
      <c r="K71" s="76"/>
      <c r="L71" s="77"/>
      <c r="M71" s="77"/>
      <c r="N71" s="78"/>
      <c r="Q71" s="560" t="s">
        <v>81</v>
      </c>
      <c r="R71" s="200"/>
      <c r="S71" s="200"/>
      <c r="T71" s="200"/>
      <c r="U71" s="200"/>
      <c r="V71" s="555"/>
    </row>
    <row r="72" spans="1:22" ht="13.15" customHeight="1" thickBot="1" x14ac:dyDescent="0.25">
      <c r="A72" s="2"/>
      <c r="D72" s="3"/>
      <c r="E72" s="3"/>
      <c r="F72" s="84" t="s">
        <v>82</v>
      </c>
      <c r="G72" s="85">
        <v>241.48099999999999</v>
      </c>
      <c r="J72" s="189">
        <f>J71+$Q$63</f>
        <v>0.79200000000000004</v>
      </c>
      <c r="K72" s="86"/>
      <c r="L72" s="87"/>
      <c r="M72" s="87"/>
      <c r="N72" s="88"/>
      <c r="Q72" s="554" t="str">
        <f>"4) Row input cell select "&amp;ADDRESS(ROW(J51),COLUMN(J51),4)&amp;". Column input cell select "&amp;ADDRESS(ROW(J52),COLUMN(J52),4)</f>
        <v>4) Row input cell select J51. Column input cell select J52</v>
      </c>
      <c r="R72" s="200"/>
      <c r="S72" s="200"/>
      <c r="T72" s="200"/>
      <c r="U72" s="200"/>
      <c r="V72" s="555"/>
    </row>
    <row r="73" spans="1:22" ht="13.15" customHeight="1" thickTop="1" x14ac:dyDescent="0.2">
      <c r="A73" s="2"/>
      <c r="D73" s="74"/>
      <c r="E73" s="6"/>
      <c r="F73" s="6"/>
      <c r="G73" s="6"/>
      <c r="Q73" s="556" t="s">
        <v>83</v>
      </c>
      <c r="R73" s="200"/>
      <c r="S73" s="200"/>
      <c r="T73" s="200"/>
      <c r="U73" s="200"/>
      <c r="V73" s="555"/>
    </row>
    <row r="74" spans="1:22" ht="13.15" customHeight="1" thickBot="1" x14ac:dyDescent="0.25">
      <c r="A74" s="465">
        <v>16</v>
      </c>
      <c r="B74" s="354"/>
      <c r="D74" s="89"/>
      <c r="E74" s="90"/>
      <c r="F74" s="91" t="s">
        <v>84</v>
      </c>
      <c r="G74" s="92">
        <v>9.9999999999999995E-7</v>
      </c>
      <c r="I74"/>
      <c r="J74"/>
      <c r="L74"/>
      <c r="M74"/>
      <c r="N74"/>
      <c r="Q74" s="561" t="s">
        <v>85</v>
      </c>
      <c r="R74" s="558"/>
      <c r="S74" s="558"/>
      <c r="T74" s="558"/>
      <c r="U74" s="558"/>
      <c r="V74" s="559"/>
    </row>
    <row r="75" spans="1:22" ht="13.15" customHeight="1" thickTop="1" x14ac:dyDescent="0.2">
      <c r="A75" s="354"/>
      <c r="B75" s="354"/>
      <c r="I75"/>
      <c r="J75"/>
      <c r="L75"/>
      <c r="M75"/>
      <c r="N75"/>
      <c r="Q75" s="105"/>
      <c r="R75" s="105"/>
      <c r="S75" s="105"/>
      <c r="T75" s="105"/>
      <c r="U75" s="105"/>
      <c r="V75" s="105"/>
    </row>
    <row r="76" spans="1:22" s="105" customFormat="1" ht="13.15" customHeight="1" x14ac:dyDescent="0.2">
      <c r="A76" s="354"/>
      <c r="B76" s="354"/>
      <c r="I76"/>
      <c r="J76"/>
      <c r="L76"/>
      <c r="M76"/>
      <c r="N76"/>
      <c r="Q76" s="551" t="str">
        <f>"Adding Conditional Formatting"</f>
        <v>Adding Conditional Formatting</v>
      </c>
      <c r="R76" s="552"/>
      <c r="S76" s="552"/>
      <c r="T76" s="552"/>
      <c r="U76" s="552"/>
      <c r="V76" s="553"/>
    </row>
    <row r="77" spans="1:22" s="105" customFormat="1" ht="13.15" customHeight="1" x14ac:dyDescent="0.2">
      <c r="A77" s="354"/>
      <c r="B77" s="354"/>
      <c r="I77"/>
      <c r="J77"/>
      <c r="L77"/>
      <c r="M77"/>
      <c r="N77"/>
      <c r="Q77" s="554" t="str">
        <f>"1) Highlight the range "&amp;ADDRESS(ROW(K64),COLUMN(K64),4)&amp;":"&amp;ADDRESS(ROW(N72),COLUMN(N72),4)</f>
        <v>1) Highlight the range K64:N72</v>
      </c>
      <c r="R77" s="200"/>
      <c r="S77" s="200"/>
      <c r="T77" s="200"/>
      <c r="U77" s="200"/>
      <c r="V77" s="555"/>
    </row>
    <row r="78" spans="1:22" s="105" customFormat="1" ht="13.15" customHeight="1" x14ac:dyDescent="0.2">
      <c r="A78" s="354"/>
      <c r="B78" s="354"/>
      <c r="I78"/>
      <c r="J78"/>
      <c r="L78"/>
      <c r="M78"/>
      <c r="N78"/>
      <c r="Q78" s="556" t="s">
        <v>200</v>
      </c>
      <c r="R78" s="200"/>
      <c r="S78" s="200"/>
      <c r="T78" s="200"/>
      <c r="U78" s="200"/>
      <c r="V78" s="555"/>
    </row>
    <row r="79" spans="1:22" s="105" customFormat="1" ht="13.15" customHeight="1" x14ac:dyDescent="0.2">
      <c r="A79" s="354"/>
      <c r="B79" s="354"/>
      <c r="I79"/>
      <c r="J79"/>
      <c r="L79"/>
      <c r="M79"/>
      <c r="N79"/>
      <c r="Q79" s="556" t="s">
        <v>202</v>
      </c>
      <c r="R79" s="200"/>
      <c r="S79" s="200"/>
      <c r="T79" s="200"/>
      <c r="U79" s="200"/>
      <c r="V79" s="555"/>
    </row>
    <row r="80" spans="1:22" s="105" customFormat="1" ht="13.15" customHeight="1" x14ac:dyDescent="0.2">
      <c r="A80" s="354"/>
      <c r="B80" s="354"/>
      <c r="I80"/>
      <c r="J80"/>
      <c r="L80"/>
      <c r="M80"/>
      <c r="N80"/>
      <c r="Q80" s="557" t="s">
        <v>201</v>
      </c>
      <c r="R80" s="558"/>
      <c r="S80" s="558"/>
      <c r="T80" s="558"/>
      <c r="U80" s="558"/>
      <c r="V80" s="559"/>
    </row>
    <row r="81" spans="1:15" ht="13.15" customHeight="1" x14ac:dyDescent="0.2">
      <c r="A81" s="354"/>
      <c r="B81" s="354"/>
      <c r="I81"/>
      <c r="J81"/>
      <c r="L81"/>
      <c r="M81"/>
      <c r="N81"/>
    </row>
    <row r="82" spans="1:15" ht="13.15" customHeight="1" x14ac:dyDescent="0.2">
      <c r="A82" s="354" t="s">
        <v>23</v>
      </c>
      <c r="B82" s="354" t="s">
        <v>86</v>
      </c>
      <c r="L82"/>
      <c r="M82"/>
      <c r="N82"/>
    </row>
    <row r="83" spans="1:15" ht="13.15" customHeight="1" x14ac:dyDescent="0.2">
      <c r="L83"/>
      <c r="M83"/>
      <c r="N83"/>
    </row>
    <row r="93" spans="1:15" ht="13.15" customHeight="1" x14ac:dyDescent="0.2">
      <c r="O93" s="469"/>
    </row>
  </sheetData>
  <sheetProtection formatCells="0" formatColumns="0" formatRows="0" insertColumns="0" insertRows="0" insertHyperlinks="0" deleteColumns="0" deleteRows="0" sort="0" autoFilter="0" pivotTables="0"/>
  <protectedRanges>
    <protectedRange sqref="G61:G62" name="Range1"/>
    <protectedRange sqref="G65" name="Range1_1"/>
  </protectedRanges>
  <conditionalFormatting sqref="G52:I52 H51:I51 G54:N54">
    <cfRule type="cellIs" dxfId="58" priority="21" stopIfTrue="1" operator="equal">
      <formula>0.000001</formula>
    </cfRule>
  </conditionalFormatting>
  <conditionalFormatting sqref="G31:N31">
    <cfRule type="cellIs" dxfId="57" priority="19" stopIfTrue="1" operator="equal">
      <formula>0.000001</formula>
    </cfRule>
  </conditionalFormatting>
  <conditionalFormatting sqref="G34:N34">
    <cfRule type="cellIs" dxfId="56" priority="18" stopIfTrue="1" operator="equal">
      <formula>0.000001</formula>
    </cfRule>
  </conditionalFormatting>
  <conditionalFormatting sqref="G37:N37">
    <cfRule type="cellIs" dxfId="55" priority="17" stopIfTrue="1" operator="equal">
      <formula>0.000001</formula>
    </cfRule>
  </conditionalFormatting>
  <conditionalFormatting sqref="G39:N39">
    <cfRule type="cellIs" dxfId="54" priority="16" stopIfTrue="1" operator="equal">
      <formula>0.000001</formula>
    </cfRule>
  </conditionalFormatting>
  <conditionalFormatting sqref="H45:N45">
    <cfRule type="cellIs" dxfId="53" priority="15" stopIfTrue="1" operator="equal">
      <formula>0.000001</formula>
    </cfRule>
  </conditionalFormatting>
  <conditionalFormatting sqref="J29:N29">
    <cfRule type="cellIs" dxfId="52" priority="14" stopIfTrue="1" operator="equal">
      <formula>0.000001</formula>
    </cfRule>
  </conditionalFormatting>
  <conditionalFormatting sqref="J30:N30">
    <cfRule type="cellIs" dxfId="51" priority="13" stopIfTrue="1" operator="equal">
      <formula>0.000001</formula>
    </cfRule>
  </conditionalFormatting>
  <conditionalFormatting sqref="J33:N33">
    <cfRule type="cellIs" dxfId="50" priority="12" stopIfTrue="1" operator="equal">
      <formula>0.000001</formula>
    </cfRule>
  </conditionalFormatting>
  <conditionalFormatting sqref="J35:N35">
    <cfRule type="cellIs" dxfId="49" priority="11" stopIfTrue="1" operator="equal">
      <formula>0.000001</formula>
    </cfRule>
  </conditionalFormatting>
  <conditionalFormatting sqref="J36:N36">
    <cfRule type="cellIs" dxfId="48" priority="10" stopIfTrue="1" operator="equal">
      <formula>0.000001</formula>
    </cfRule>
  </conditionalFormatting>
  <conditionalFormatting sqref="P29 P31 P34 P37 P39 P45">
    <cfRule type="cellIs" dxfId="47" priority="9" stopIfTrue="1" operator="equal">
      <formula>0.000001</formula>
    </cfRule>
  </conditionalFormatting>
  <conditionalFormatting sqref="K52:N52">
    <cfRule type="cellIs" dxfId="46" priority="8" stopIfTrue="1" operator="equal">
      <formula>+$J$52</formula>
    </cfRule>
  </conditionalFormatting>
  <conditionalFormatting sqref="K58:N58">
    <cfRule type="cellIs" dxfId="45" priority="7" stopIfTrue="1" operator="equal">
      <formula>$J$58</formula>
    </cfRule>
  </conditionalFormatting>
  <conditionalFormatting sqref="K56:N56">
    <cfRule type="cellIs" dxfId="44" priority="6" stopIfTrue="1" operator="equal">
      <formula>+$J$52</formula>
    </cfRule>
  </conditionalFormatting>
  <conditionalFormatting sqref="G64:G67">
    <cfRule type="cellIs" dxfId="43" priority="5" stopIfTrue="1" operator="equal">
      <formula>0.000001</formula>
    </cfRule>
  </conditionalFormatting>
  <conditionalFormatting sqref="G70">
    <cfRule type="cellIs" dxfId="42" priority="4" stopIfTrue="1" operator="equal">
      <formula>0.000001</formula>
    </cfRule>
  </conditionalFormatting>
  <conditionalFormatting sqref="G74">
    <cfRule type="cellIs" dxfId="41" priority="3" stopIfTrue="1" operator="equal">
      <formula>0.000001</formula>
    </cfRule>
  </conditionalFormatting>
  <conditionalFormatting sqref="J63">
    <cfRule type="cellIs" dxfId="40" priority="1" operator="equal">
      <formula>0.000001</formula>
    </cfRule>
    <cfRule type="cellIs" dxfId="39" priority="2" stopIfTrue="1" operator="equal">
      <formula>0</formula>
    </cfRule>
  </conditionalFormatting>
  <pageMargins left="0.75" right="0.75" top="0.65" bottom="0.65" header="0.5" footer="0.25"/>
  <pageSetup scale="58" orientation="landscape" r:id="rId1"/>
  <headerFooter alignWithMargins="0">
    <oddFooter>&amp;C&amp;8&amp;G&amp;R&amp;8For training purposes only!&amp;L&amp;8COPYRIGHT 2016 © by Training The Street, Inc</oddFoot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>
    <pageSetUpPr fitToPage="1"/>
  </sheetPr>
  <dimension ref="A1:V83"/>
  <sheetViews>
    <sheetView zoomScaleNormal="100" workbookViewId="0">
      <pane ySplit="21" topLeftCell="A22" activePane="bottomLeft" state="frozen"/>
      <selection activeCell="A76" sqref="A76"/>
      <selection pane="bottomLeft" activeCell="A22" sqref="A22"/>
    </sheetView>
  </sheetViews>
  <sheetFormatPr defaultColWidth="10" defaultRowHeight="13.15" customHeight="1" outlineLevelRow="1" x14ac:dyDescent="0.2"/>
  <cols>
    <col min="1" max="1" width="3" style="93" customWidth="1"/>
    <col min="2" max="3" width="1.7109375" style="1" customWidth="1"/>
    <col min="4" max="14" width="10" style="1" customWidth="1"/>
    <col min="15" max="15" width="1.7109375" style="1" customWidth="1"/>
    <col min="16" max="16" width="10" style="1"/>
    <col min="17" max="17" width="10.85546875" style="1" bestFit="1" customWidth="1"/>
    <col min="18" max="16384" width="10" style="1"/>
  </cols>
  <sheetData>
    <row r="1" spans="1:18" s="105" customFormat="1" ht="12.75" customHeight="1" outlineLevel="1" x14ac:dyDescent="0.2">
      <c r="A1" s="387"/>
      <c r="B1" s="404" t="str">
        <f ca="1">MID(CELL("filename",B1),FIND("]",CELL("filename",B1))+1,31)</f>
        <v>DCF Solution</v>
      </c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6"/>
      <c r="Q1" s="395"/>
      <c r="R1" s="387"/>
    </row>
    <row r="2" spans="1:18" s="105" customFormat="1" ht="12.75" customHeight="1" outlineLevel="1" x14ac:dyDescent="0.25">
      <c r="A2" s="387"/>
      <c r="B2" s="407"/>
      <c r="C2" s="401"/>
      <c r="D2" s="401"/>
      <c r="E2" s="401"/>
      <c r="F2" s="401"/>
      <c r="G2" s="401"/>
      <c r="H2" s="401"/>
      <c r="I2" s="401"/>
      <c r="J2" s="401"/>
      <c r="K2" s="400"/>
      <c r="L2" s="401"/>
      <c r="M2" s="401"/>
      <c r="N2" s="401"/>
      <c r="O2" s="401"/>
      <c r="P2" s="408"/>
      <c r="Q2" s="395"/>
      <c r="R2" s="387"/>
    </row>
    <row r="3" spans="1:18" s="105" customFormat="1" ht="12.75" customHeight="1" outlineLevel="1" x14ac:dyDescent="0.2">
      <c r="A3" s="387"/>
      <c r="B3" s="409"/>
      <c r="C3" s="402"/>
      <c r="D3" s="471">
        <v>1</v>
      </c>
      <c r="E3" s="356" t="str">
        <f>MID('Steps 1-2'!C3,9,100)</f>
        <v>Input the Unlevered Free Cash Flow line items</v>
      </c>
      <c r="F3" s="403"/>
      <c r="G3" s="401"/>
      <c r="H3" s="401"/>
      <c r="I3" s="401"/>
      <c r="J3" s="427"/>
      <c r="K3" s="472" t="s">
        <v>141</v>
      </c>
      <c r="L3" s="428"/>
      <c r="M3" s="401"/>
      <c r="N3" s="401"/>
      <c r="O3" s="401"/>
      <c r="P3" s="430"/>
      <c r="Q3" s="395"/>
      <c r="R3" s="387"/>
    </row>
    <row r="4" spans="1:18" s="105" customFormat="1" ht="12.75" customHeight="1" outlineLevel="1" x14ac:dyDescent="0.2">
      <c r="A4" s="387"/>
      <c r="B4" s="410"/>
      <c r="C4" s="401"/>
      <c r="D4" s="471">
        <f>D3+1</f>
        <v>2</v>
      </c>
      <c r="E4" s="429" t="str">
        <f>MID('Steps 1-2'!C8,9,100)</f>
        <v>Calculate the historical ratios and growth rates</v>
      </c>
      <c r="F4" s="401"/>
      <c r="G4" s="401"/>
      <c r="H4" s="401"/>
      <c r="I4" s="401"/>
      <c r="J4" s="428"/>
      <c r="K4" s="356" t="s">
        <v>142</v>
      </c>
      <c r="L4" s="356"/>
      <c r="M4" s="401"/>
      <c r="N4" s="401"/>
      <c r="O4" s="401"/>
      <c r="P4" s="408"/>
      <c r="Q4" s="395"/>
      <c r="R4" s="387"/>
    </row>
    <row r="5" spans="1:18" s="105" customFormat="1" ht="12.75" customHeight="1" outlineLevel="1" x14ac:dyDescent="0.25">
      <c r="A5" s="387"/>
      <c r="B5" s="407"/>
      <c r="C5" s="401"/>
      <c r="D5" s="471">
        <f t="shared" ref="D5:D19" si="0">D4+1</f>
        <v>3</v>
      </c>
      <c r="E5" s="428" t="str">
        <f>MID('Steps 3-6'!C3,9,100)</f>
        <v>Forecast net sales for the projected years</v>
      </c>
      <c r="F5" s="401"/>
      <c r="G5" s="401"/>
      <c r="H5" s="401"/>
      <c r="I5" s="401"/>
      <c r="J5" s="446"/>
      <c r="K5" s="356" t="s">
        <v>143</v>
      </c>
      <c r="L5" s="429"/>
      <c r="M5" s="466" t="s">
        <v>198</v>
      </c>
      <c r="N5" s="401"/>
      <c r="O5" s="401"/>
      <c r="P5" s="408"/>
      <c r="Q5" s="395"/>
      <c r="R5" s="387"/>
    </row>
    <row r="6" spans="1:18" s="105" customFormat="1" ht="12.75" customHeight="1" outlineLevel="1" x14ac:dyDescent="0.25">
      <c r="A6" s="387"/>
      <c r="B6" s="407"/>
      <c r="C6" s="401"/>
      <c r="D6" s="471">
        <f t="shared" si="0"/>
        <v>4</v>
      </c>
      <c r="E6" s="398" t="str">
        <f>MID('Steps 3-6'!C9,9,100)</f>
        <v>Project future operating expenses</v>
      </c>
      <c r="F6" s="401"/>
      <c r="G6" s="401"/>
      <c r="H6" s="401"/>
      <c r="I6" s="401"/>
      <c r="J6" s="401"/>
      <c r="K6" s="446"/>
      <c r="L6" s="429"/>
      <c r="M6" s="401"/>
      <c r="N6" s="401"/>
      <c r="O6" s="401"/>
      <c r="P6" s="408"/>
      <c r="Q6" s="395"/>
      <c r="R6" s="387"/>
    </row>
    <row r="7" spans="1:18" s="105" customFormat="1" ht="12.75" customHeight="1" outlineLevel="1" x14ac:dyDescent="0.25">
      <c r="A7" s="387"/>
      <c r="B7" s="407"/>
      <c r="C7" s="401"/>
      <c r="D7" s="471">
        <f t="shared" si="0"/>
        <v>5</v>
      </c>
      <c r="E7" s="429" t="str">
        <f>MID('Steps 3-6'!J3,9,100)</f>
        <v>Add ''steps'' to your assumptions</v>
      </c>
      <c r="F7" s="401"/>
      <c r="G7" s="401"/>
      <c r="H7" s="401"/>
      <c r="I7" s="401"/>
      <c r="J7" s="427"/>
      <c r="K7" s="473" t="s">
        <v>144</v>
      </c>
      <c r="L7" s="401"/>
      <c r="M7" s="401"/>
      <c r="N7" s="401"/>
      <c r="O7" s="401"/>
      <c r="P7" s="408"/>
      <c r="Q7" s="395"/>
      <c r="R7" s="387"/>
    </row>
    <row r="8" spans="1:18" s="105" customFormat="1" ht="12.75" customHeight="1" outlineLevel="1" x14ac:dyDescent="0.25">
      <c r="A8" s="387"/>
      <c r="B8" s="407"/>
      <c r="C8" s="401"/>
      <c r="D8" s="471">
        <f t="shared" si="0"/>
        <v>6</v>
      </c>
      <c r="E8" s="429" t="str">
        <f>MID('Steps 3-6'!J9,9,100)</f>
        <v>Calculate totals</v>
      </c>
      <c r="F8" s="401"/>
      <c r="G8" s="401"/>
      <c r="H8" s="401"/>
      <c r="I8" s="401"/>
      <c r="J8" s="428"/>
      <c r="K8" s="547"/>
      <c r="L8" s="547" t="s">
        <v>197</v>
      </c>
      <c r="M8" s="466" t="s">
        <v>195</v>
      </c>
      <c r="N8" s="401"/>
      <c r="O8" s="401"/>
      <c r="P8" s="408"/>
      <c r="Q8" s="395"/>
      <c r="R8" s="387"/>
    </row>
    <row r="9" spans="1:18" s="105" customFormat="1" ht="12.75" customHeight="1" outlineLevel="1" x14ac:dyDescent="0.25">
      <c r="A9" s="387"/>
      <c r="B9" s="407"/>
      <c r="C9" s="401"/>
      <c r="D9" s="471">
        <f t="shared" si="0"/>
        <v>7</v>
      </c>
      <c r="E9" s="356" t="str">
        <f>MID('Steps 7-10'!C3,9,100)</f>
        <v>Project Capital Expenditures &amp; Depreciation</v>
      </c>
      <c r="F9" s="401"/>
      <c r="G9" s="401"/>
      <c r="H9" s="401"/>
      <c r="I9" s="401"/>
      <c r="J9" s="428"/>
      <c r="K9" s="398"/>
      <c r="L9" s="398"/>
      <c r="M9" s="548" t="s">
        <v>190</v>
      </c>
      <c r="N9" s="548" t="s">
        <v>196</v>
      </c>
      <c r="O9" s="401"/>
      <c r="P9" s="408"/>
      <c r="Q9" s="395"/>
      <c r="R9" s="387"/>
    </row>
    <row r="10" spans="1:18" s="105" customFormat="1" ht="12.75" customHeight="1" outlineLevel="1" x14ac:dyDescent="0.25">
      <c r="A10" s="387"/>
      <c r="B10" s="407"/>
      <c r="C10" s="401"/>
      <c r="D10" s="471">
        <f t="shared" si="0"/>
        <v>8</v>
      </c>
      <c r="E10" s="356" t="str">
        <f>MID('Steps 7-10'!C13,9,100)</f>
        <v>Project Additions to Intangibles &amp; Amortization</v>
      </c>
      <c r="F10" s="401"/>
      <c r="G10" s="401"/>
      <c r="H10" s="401"/>
      <c r="I10" s="401"/>
      <c r="J10" s="428"/>
      <c r="K10" s="473" t="s">
        <v>147</v>
      </c>
      <c r="L10" s="401"/>
      <c r="M10" s="401"/>
      <c r="N10" s="401"/>
      <c r="O10" s="401"/>
      <c r="P10" s="408"/>
      <c r="Q10" s="395"/>
      <c r="R10" s="387"/>
    </row>
    <row r="11" spans="1:18" s="105" customFormat="1" ht="12.75" customHeight="1" outlineLevel="1" x14ac:dyDescent="0.25">
      <c r="A11" s="387"/>
      <c r="B11" s="407"/>
      <c r="C11" s="401"/>
      <c r="D11" s="471">
        <f t="shared" si="0"/>
        <v>9</v>
      </c>
      <c r="E11" s="429" t="str">
        <f>MID('Steps 7-10'!J3,9,100)</f>
        <v>Project future working capital requirements</v>
      </c>
      <c r="F11" s="401"/>
      <c r="G11" s="401"/>
      <c r="H11" s="401"/>
      <c r="I11" s="401"/>
      <c r="J11" s="356"/>
      <c r="K11" s="356" t="s">
        <v>145</v>
      </c>
      <c r="L11" s="401"/>
      <c r="M11" s="401"/>
      <c r="N11" s="401"/>
      <c r="O11" s="401"/>
      <c r="P11" s="408"/>
      <c r="Q11" s="395"/>
      <c r="R11" s="387"/>
    </row>
    <row r="12" spans="1:18" s="105" customFormat="1" ht="12.75" customHeight="1" outlineLevel="1" x14ac:dyDescent="0.25">
      <c r="A12" s="387"/>
      <c r="B12" s="407"/>
      <c r="C12" s="402"/>
      <c r="D12" s="471">
        <f t="shared" si="0"/>
        <v>10</v>
      </c>
      <c r="E12" s="401" t="str">
        <f>MID('Steps 7-10'!J7,10,100)</f>
        <v>Calculate Unlevered Free Cash Flow</v>
      </c>
      <c r="F12" s="401"/>
      <c r="G12" s="401"/>
      <c r="H12" s="401"/>
      <c r="I12" s="401"/>
      <c r="J12" s="356"/>
      <c r="K12" s="356" t="s">
        <v>143</v>
      </c>
      <c r="L12" s="401"/>
      <c r="M12" s="466" t="s">
        <v>192</v>
      </c>
      <c r="N12" s="401"/>
      <c r="O12" s="401"/>
      <c r="P12" s="408"/>
      <c r="Q12" s="395"/>
      <c r="R12" s="387"/>
    </row>
    <row r="13" spans="1:18" s="105" customFormat="1" ht="12.75" customHeight="1" outlineLevel="1" x14ac:dyDescent="0.25">
      <c r="A13" s="387"/>
      <c r="B13" s="407"/>
      <c r="C13" s="428"/>
      <c r="D13" s="471">
        <f t="shared" si="0"/>
        <v>11</v>
      </c>
      <c r="E13" s="429" t="str">
        <f>MID('Steps 11-17'!C3,10,100)</f>
        <v>Calculate the net present value of the unlevered free cash flow</v>
      </c>
      <c r="F13" s="401"/>
      <c r="G13" s="401"/>
      <c r="H13" s="401"/>
      <c r="I13" s="401"/>
      <c r="J13" s="446"/>
      <c r="K13" s="429"/>
      <c r="L13" s="401"/>
      <c r="M13" s="466" t="s">
        <v>191</v>
      </c>
      <c r="N13" s="401"/>
      <c r="O13" s="401"/>
      <c r="P13" s="408"/>
      <c r="Q13" s="395"/>
      <c r="R13" s="387"/>
    </row>
    <row r="14" spans="1:18" s="105" customFormat="1" ht="12.75" customHeight="1" outlineLevel="1" x14ac:dyDescent="0.25">
      <c r="A14" s="387"/>
      <c r="B14" s="407"/>
      <c r="C14" s="401"/>
      <c r="D14" s="471">
        <f t="shared" si="0"/>
        <v>12</v>
      </c>
      <c r="E14" s="401" t="str">
        <f>MID('Steps 11-17'!C12,10,100)</f>
        <v>Calculate the terminal value</v>
      </c>
      <c r="F14" s="401"/>
      <c r="G14" s="466"/>
      <c r="H14" s="401"/>
      <c r="I14" s="401"/>
      <c r="J14" s="446"/>
      <c r="K14" s="356" t="s">
        <v>146</v>
      </c>
      <c r="L14" s="428"/>
      <c r="M14" s="428"/>
      <c r="N14" s="428"/>
      <c r="O14" s="428"/>
      <c r="P14" s="408"/>
      <c r="Q14" s="395"/>
      <c r="R14" s="387"/>
    </row>
    <row r="15" spans="1:18" s="105" customFormat="1" ht="12.75" customHeight="1" outlineLevel="1" x14ac:dyDescent="0.25">
      <c r="A15" s="387"/>
      <c r="B15" s="407"/>
      <c r="C15" s="428"/>
      <c r="D15" s="471">
        <f t="shared" si="0"/>
        <v>13</v>
      </c>
      <c r="E15" s="428" t="str">
        <f>MID('Steps 11-17'!K3,10,100)</f>
        <v>Calculate the present value of terminal value</v>
      </c>
      <c r="F15" s="401"/>
      <c r="G15" s="466"/>
      <c r="H15" s="401"/>
      <c r="I15" s="401"/>
      <c r="J15" s="446"/>
      <c r="K15" s="446"/>
      <c r="L15" s="446"/>
      <c r="M15" s="446"/>
      <c r="N15" s="446"/>
      <c r="O15" s="446"/>
      <c r="P15" s="408"/>
      <c r="Q15" s="395"/>
      <c r="R15" s="387"/>
    </row>
    <row r="16" spans="1:18" s="105" customFormat="1" ht="12.75" customHeight="1" outlineLevel="1" x14ac:dyDescent="0.25">
      <c r="A16" s="387"/>
      <c r="B16" s="407"/>
      <c r="C16" s="446"/>
      <c r="D16" s="471">
        <f t="shared" si="0"/>
        <v>14</v>
      </c>
      <c r="E16" s="356" t="str">
        <f>MID('Steps 11-17'!K7,10,100)</f>
        <v>Calculate the Enterprise Value</v>
      </c>
      <c r="F16" s="401"/>
      <c r="G16" s="466"/>
      <c r="H16" s="401"/>
      <c r="I16" s="401"/>
      <c r="J16" s="428"/>
      <c r="K16" s="473" t="s">
        <v>148</v>
      </c>
      <c r="L16" s="446"/>
      <c r="M16" s="446"/>
      <c r="N16" s="446"/>
      <c r="O16" s="446"/>
      <c r="P16" s="408"/>
      <c r="Q16" s="395"/>
      <c r="R16" s="387"/>
    </row>
    <row r="17" spans="1:21" s="105" customFormat="1" ht="12.75" customHeight="1" outlineLevel="1" x14ac:dyDescent="0.25">
      <c r="A17" s="387"/>
      <c r="B17" s="407"/>
      <c r="C17" s="447"/>
      <c r="D17" s="471">
        <f t="shared" si="0"/>
        <v>15</v>
      </c>
      <c r="E17" s="401" t="str">
        <f>MID('Steps 11-17'!K10,10,100)</f>
        <v>Calculate the Equity Value</v>
      </c>
      <c r="F17" s="401"/>
      <c r="G17" s="401"/>
      <c r="H17" s="401"/>
      <c r="I17" s="401"/>
      <c r="J17" s="446"/>
      <c r="K17" s="446" t="s">
        <v>149</v>
      </c>
      <c r="L17" s="446"/>
      <c r="M17" s="446"/>
      <c r="N17" s="446"/>
      <c r="O17" s="446"/>
      <c r="P17" s="408"/>
      <c r="Q17" s="395"/>
      <c r="R17" s="387"/>
    </row>
    <row r="18" spans="1:21" s="105" customFormat="1" ht="12.75" customHeight="1" outlineLevel="1" x14ac:dyDescent="0.25">
      <c r="A18" s="387"/>
      <c r="B18" s="407"/>
      <c r="C18" s="445"/>
      <c r="D18" s="471">
        <f t="shared" si="0"/>
        <v>16</v>
      </c>
      <c r="E18" s="401" t="str">
        <f>MID('Steps 11-17'!K14,10,100)</f>
        <v>Calculate the Equity Value per share</v>
      </c>
      <c r="F18" s="401"/>
      <c r="G18" s="401"/>
      <c r="H18" s="401"/>
      <c r="I18" s="401"/>
      <c r="J18" s="446"/>
      <c r="K18" s="446"/>
      <c r="L18" s="446"/>
      <c r="M18" s="446"/>
      <c r="N18" s="446"/>
      <c r="O18" s="446"/>
      <c r="P18" s="408"/>
      <c r="Q18" s="395"/>
      <c r="R18" s="387"/>
    </row>
    <row r="19" spans="1:21" s="105" customFormat="1" ht="12.75" customHeight="1" outlineLevel="1" x14ac:dyDescent="0.25">
      <c r="A19" s="387"/>
      <c r="B19" s="407"/>
      <c r="C19" s="445"/>
      <c r="D19" s="471">
        <f t="shared" si="0"/>
        <v>17</v>
      </c>
      <c r="E19" s="401" t="str">
        <f>MID('Steps 11-17'!K17,10,100)</f>
        <v>Sensitize the equity value per share</v>
      </c>
      <c r="F19" s="401"/>
      <c r="G19" s="401"/>
      <c r="H19" s="401"/>
      <c r="I19" s="401"/>
      <c r="J19" s="446"/>
      <c r="K19" s="473" t="str">
        <f>MID('Steps 11-17'!K12,FIND("-",'Steps 11-17'!K12)+2,100)</f>
        <v>Equity Value = Enterprise Value + "Net Debt"</v>
      </c>
      <c r="L19" s="446"/>
      <c r="M19" s="446"/>
      <c r="N19" s="446"/>
      <c r="O19" s="446"/>
      <c r="P19" s="408"/>
      <c r="Q19" s="395"/>
      <c r="R19" s="387"/>
    </row>
    <row r="20" spans="1:21" s="105" customFormat="1" ht="12.75" customHeight="1" outlineLevel="1" x14ac:dyDescent="0.25">
      <c r="A20" s="387"/>
      <c r="B20" s="411"/>
      <c r="C20" s="412"/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3"/>
      <c r="Q20" s="395"/>
      <c r="R20" s="225"/>
      <c r="S20" s="225"/>
      <c r="T20" s="225"/>
      <c r="U20" s="225"/>
    </row>
    <row r="21" spans="1:21" s="3" customFormat="1" ht="12.75" customHeight="1" x14ac:dyDescent="0.2">
      <c r="A21" s="237"/>
      <c r="B21" s="238"/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</row>
    <row r="22" spans="1:21" s="6" customFormat="1" ht="18.75" thickBot="1" x14ac:dyDescent="0.3">
      <c r="A22" s="237"/>
      <c r="B22" s="239" t="str">
        <f>"Discounted Cash Flow Analysis for "&amp;Company</f>
        <v>Discounted Cash Flow Analysis for Sample Company</v>
      </c>
      <c r="C22" s="240"/>
      <c r="D22" s="241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2"/>
      <c r="R22" s="242"/>
      <c r="S22" s="242"/>
      <c r="T22" s="242"/>
      <c r="U22" s="242"/>
    </row>
    <row r="23" spans="1:21" s="6" customFormat="1" ht="13.15" customHeight="1" x14ac:dyDescent="0.2">
      <c r="A23" s="237"/>
      <c r="B23" s="243" t="str">
        <f>Subheader</f>
        <v>Dollars in millions, except per share</v>
      </c>
      <c r="C23" s="244"/>
      <c r="D23" s="245"/>
      <c r="E23" s="246"/>
      <c r="F23" s="246"/>
      <c r="G23" s="246"/>
      <c r="H23" s="246"/>
      <c r="I23" s="246"/>
      <c r="J23" s="246"/>
      <c r="K23" s="246"/>
      <c r="L23" s="246"/>
      <c r="M23" s="247"/>
      <c r="N23" s="246"/>
      <c r="O23" s="246"/>
      <c r="P23" s="246"/>
      <c r="Q23" s="242"/>
      <c r="R23" s="242"/>
      <c r="S23" s="242"/>
      <c r="T23" s="242"/>
      <c r="U23" s="242"/>
    </row>
    <row r="24" spans="1:21" s="6" customFormat="1" ht="12.75" customHeight="1" x14ac:dyDescent="0.2">
      <c r="A24" s="237"/>
      <c r="B24" s="248"/>
      <c r="C24" s="249"/>
      <c r="D24" s="250"/>
      <c r="E24" s="240"/>
      <c r="F24" s="240"/>
      <c r="G24" s="240"/>
      <c r="H24" s="240"/>
      <c r="I24" s="240"/>
      <c r="J24" s="240"/>
      <c r="K24" s="240"/>
      <c r="L24" s="240"/>
      <c r="M24" s="242"/>
      <c r="N24" s="240"/>
      <c r="O24" s="242"/>
      <c r="P24" s="242"/>
      <c r="Q24" s="242"/>
      <c r="R24" s="242"/>
      <c r="S24" s="242"/>
      <c r="T24" s="242"/>
      <c r="U24" s="242"/>
    </row>
    <row r="25" spans="1:21" s="6" customFormat="1" ht="12.75" customHeight="1" x14ac:dyDescent="0.2">
      <c r="A25" s="237"/>
      <c r="B25" s="248"/>
      <c r="C25" s="249"/>
      <c r="D25" s="250"/>
      <c r="E25" s="240"/>
      <c r="F25" s="240"/>
      <c r="G25" s="242"/>
      <c r="H25" s="242"/>
      <c r="I25" s="242"/>
      <c r="J25" s="242"/>
      <c r="K25" s="242"/>
      <c r="L25" s="242"/>
      <c r="M25" s="242"/>
      <c r="N25" s="242"/>
      <c r="O25" s="242"/>
      <c r="P25" s="251" t="str">
        <f>I27&amp;" - "&amp;N27</f>
        <v>2015 - 2020</v>
      </c>
      <c r="Q25" s="242"/>
      <c r="R25" s="242"/>
      <c r="S25" s="242"/>
      <c r="T25" s="242"/>
      <c r="U25" s="242"/>
    </row>
    <row r="26" spans="1:21" s="3" customFormat="1" ht="12.75" customHeight="1" x14ac:dyDescent="0.2">
      <c r="A26" s="237"/>
      <c r="B26" s="238"/>
      <c r="C26" s="238"/>
      <c r="D26" s="238"/>
      <c r="E26" s="238"/>
      <c r="F26" s="238"/>
      <c r="G26" s="252" t="s">
        <v>28</v>
      </c>
      <c r="H26" s="253"/>
      <c r="I26" s="254"/>
      <c r="J26" s="252" t="s">
        <v>29</v>
      </c>
      <c r="K26" s="255"/>
      <c r="L26" s="255"/>
      <c r="M26" s="255"/>
      <c r="N26" s="256"/>
      <c r="O26" s="238"/>
      <c r="P26" s="257" t="s">
        <v>30</v>
      </c>
      <c r="Q26" s="238"/>
      <c r="R26" s="238"/>
      <c r="S26" s="238"/>
      <c r="T26" s="238"/>
      <c r="U26" s="238"/>
    </row>
    <row r="27" spans="1:21" s="3" customFormat="1" ht="12.75" customHeight="1" x14ac:dyDescent="0.2">
      <c r="A27" s="237"/>
      <c r="B27" s="238"/>
      <c r="C27" s="238"/>
      <c r="D27" s="238"/>
      <c r="E27" s="238"/>
      <c r="F27" s="238"/>
      <c r="G27" s="379">
        <f>H27-1</f>
        <v>2013</v>
      </c>
      <c r="H27" s="379">
        <f>I27-1</f>
        <v>2014</v>
      </c>
      <c r="I27" s="380">
        <f>YEAR(FYE)</f>
        <v>2015</v>
      </c>
      <c r="J27" s="379">
        <f t="shared" ref="J27:N27" si="1">I27+1</f>
        <v>2016</v>
      </c>
      <c r="K27" s="379">
        <f t="shared" si="1"/>
        <v>2017</v>
      </c>
      <c r="L27" s="379">
        <f t="shared" si="1"/>
        <v>2018</v>
      </c>
      <c r="M27" s="379">
        <f t="shared" si="1"/>
        <v>2019</v>
      </c>
      <c r="N27" s="379">
        <f t="shared" si="1"/>
        <v>2020</v>
      </c>
      <c r="O27" s="238"/>
      <c r="P27" s="238"/>
      <c r="Q27" s="238"/>
      <c r="R27" s="238"/>
      <c r="S27" s="238"/>
      <c r="T27" s="238"/>
      <c r="U27" s="238"/>
    </row>
    <row r="28" spans="1:21" s="3" customFormat="1" ht="12.75" customHeight="1" x14ac:dyDescent="0.2">
      <c r="A28" s="237"/>
      <c r="B28" s="238"/>
      <c r="C28" s="238"/>
      <c r="D28" s="238"/>
      <c r="E28" s="238"/>
      <c r="F28" s="238"/>
      <c r="G28" s="238"/>
      <c r="H28" s="238"/>
      <c r="I28" s="258"/>
      <c r="J28" s="238"/>
      <c r="K28" s="238"/>
      <c r="L28" s="238"/>
      <c r="M28" s="238"/>
      <c r="N28" s="238"/>
      <c r="O28" s="238"/>
      <c r="P28" s="242"/>
      <c r="Q28" s="238"/>
      <c r="R28" s="238"/>
      <c r="S28" s="238"/>
      <c r="T28" s="238"/>
      <c r="U28" s="238"/>
    </row>
    <row r="29" spans="1:21" s="3" customFormat="1" ht="13.15" customHeight="1" x14ac:dyDescent="0.2">
      <c r="A29" s="354" t="s">
        <v>23</v>
      </c>
      <c r="B29" s="259" t="s">
        <v>31</v>
      </c>
      <c r="C29" s="259"/>
      <c r="D29" s="259"/>
      <c r="E29" s="238"/>
      <c r="F29" s="238"/>
      <c r="G29" s="260">
        <v>4666</v>
      </c>
      <c r="H29" s="260">
        <v>4791.8999999999996</v>
      </c>
      <c r="I29" s="261">
        <v>4988.1000000000004</v>
      </c>
      <c r="J29" s="262">
        <f t="shared" ref="J29:N29" si="2">I29*(1+J51)</f>
        <v>5187.6240000000007</v>
      </c>
      <c r="K29" s="262">
        <f t="shared" si="2"/>
        <v>5395.1289600000009</v>
      </c>
      <c r="L29" s="262">
        <f t="shared" si="2"/>
        <v>5610.9341184000014</v>
      </c>
      <c r="M29" s="262">
        <f t="shared" si="2"/>
        <v>5835.3714831360012</v>
      </c>
      <c r="N29" s="262">
        <f t="shared" si="2"/>
        <v>6068.7863424614416</v>
      </c>
      <c r="O29" s="242"/>
      <c r="P29" s="498">
        <f>RATE($N$27-$I$27,0,I29,-N29)</f>
        <v>4.0000000000138314E-2</v>
      </c>
      <c r="Q29" s="242"/>
      <c r="R29" s="238"/>
      <c r="S29" s="238"/>
      <c r="T29" s="238"/>
      <c r="U29" s="238"/>
    </row>
    <row r="30" spans="1:21" s="3" customFormat="1" ht="13.15" customHeight="1" x14ac:dyDescent="0.2">
      <c r="A30" s="237"/>
      <c r="B30" s="259" t="s">
        <v>32</v>
      </c>
      <c r="C30" s="259"/>
      <c r="D30" s="259"/>
      <c r="E30" s="238"/>
      <c r="F30" s="238"/>
      <c r="G30" s="264">
        <v>3498.8</v>
      </c>
      <c r="H30" s="264">
        <v>3767.7</v>
      </c>
      <c r="I30" s="265">
        <v>3893.1</v>
      </c>
      <c r="J30" s="266">
        <f t="shared" ref="J30:N30" si="3">J29*J52</f>
        <v>4046.3467200000009</v>
      </c>
      <c r="K30" s="266">
        <f t="shared" si="3"/>
        <v>4202.8054598400013</v>
      </c>
      <c r="L30" s="266">
        <f t="shared" si="3"/>
        <v>4365.3067441152016</v>
      </c>
      <c r="M30" s="266">
        <f t="shared" si="3"/>
        <v>4534.083642396673</v>
      </c>
      <c r="N30" s="266">
        <f t="shared" si="3"/>
        <v>4709.3782017500789</v>
      </c>
      <c r="O30" s="242"/>
      <c r="P30" s="499"/>
      <c r="Q30" s="242"/>
      <c r="R30" s="238"/>
      <c r="S30" s="238"/>
      <c r="T30" s="238"/>
      <c r="U30" s="238"/>
    </row>
    <row r="31" spans="1:21" s="3" customFormat="1" ht="13.15" customHeight="1" x14ac:dyDescent="0.2">
      <c r="A31" s="237"/>
      <c r="B31" s="259" t="s">
        <v>33</v>
      </c>
      <c r="C31" s="238"/>
      <c r="D31" s="259"/>
      <c r="E31" s="238"/>
      <c r="F31" s="238"/>
      <c r="G31" s="268">
        <f t="shared" ref="G31:N31" si="4">G29-G30</f>
        <v>1167.1999999999998</v>
      </c>
      <c r="H31" s="268">
        <f t="shared" si="4"/>
        <v>1024.1999999999998</v>
      </c>
      <c r="I31" s="269">
        <f t="shared" si="4"/>
        <v>1095.0000000000005</v>
      </c>
      <c r="J31" s="268">
        <f t="shared" si="4"/>
        <v>1141.2772799999998</v>
      </c>
      <c r="K31" s="268">
        <f t="shared" si="4"/>
        <v>1192.3235001599996</v>
      </c>
      <c r="L31" s="268">
        <f t="shared" si="4"/>
        <v>1245.6273742847998</v>
      </c>
      <c r="M31" s="268">
        <f t="shared" si="4"/>
        <v>1301.2878407393282</v>
      </c>
      <c r="N31" s="268">
        <f t="shared" si="4"/>
        <v>1359.4081407113626</v>
      </c>
      <c r="O31" s="242"/>
      <c r="P31" s="498">
        <f>RATE($N$27-$I$27,0,I31,-N31)</f>
        <v>4.4208320455121485E-2</v>
      </c>
      <c r="Q31" s="242"/>
      <c r="R31" s="238"/>
      <c r="S31" s="238"/>
      <c r="T31" s="238"/>
      <c r="U31" s="238"/>
    </row>
    <row r="32" spans="1:21" s="3" customFormat="1" ht="6.4" customHeight="1" x14ac:dyDescent="0.2">
      <c r="A32" s="237"/>
      <c r="B32" s="238"/>
      <c r="C32" s="238"/>
      <c r="D32" s="238"/>
      <c r="E32" s="238"/>
      <c r="F32" s="238"/>
      <c r="G32" s="270"/>
      <c r="H32" s="270"/>
      <c r="I32" s="271"/>
      <c r="J32" s="266"/>
      <c r="K32" s="266"/>
      <c r="L32" s="266"/>
      <c r="M32" s="266"/>
      <c r="N32" s="266"/>
      <c r="O32" s="242"/>
      <c r="P32" s="499"/>
      <c r="Q32" s="242"/>
      <c r="R32" s="238"/>
      <c r="S32" s="238"/>
      <c r="T32" s="238"/>
      <c r="U32" s="238"/>
    </row>
    <row r="33" spans="1:21" s="3" customFormat="1" ht="13.15" customHeight="1" x14ac:dyDescent="0.2">
      <c r="A33" s="237"/>
      <c r="B33" s="259" t="s">
        <v>34</v>
      </c>
      <c r="C33" s="259"/>
      <c r="D33" s="259"/>
      <c r="E33" s="238"/>
      <c r="F33" s="238"/>
      <c r="G33" s="264">
        <v>316</v>
      </c>
      <c r="H33" s="264">
        <v>306.10000000000002</v>
      </c>
      <c r="I33" s="265">
        <v>280.3</v>
      </c>
      <c r="J33" s="266">
        <f t="shared" ref="J33:N33" si="5">J29*J53</f>
        <v>290.50694400000003</v>
      </c>
      <c r="K33" s="266">
        <f t="shared" si="5"/>
        <v>302.12722176000005</v>
      </c>
      <c r="L33" s="266">
        <f t="shared" si="5"/>
        <v>314.21231063040005</v>
      </c>
      <c r="M33" s="266">
        <f t="shared" si="5"/>
        <v>326.78080305561605</v>
      </c>
      <c r="N33" s="266">
        <f t="shared" si="5"/>
        <v>339.85203517784072</v>
      </c>
      <c r="O33" s="242"/>
      <c r="P33" s="499"/>
      <c r="Q33" s="242"/>
      <c r="R33" s="225"/>
      <c r="S33" s="225"/>
      <c r="T33" s="225"/>
      <c r="U33" s="238"/>
    </row>
    <row r="34" spans="1:21" s="3" customFormat="1" ht="13.15" customHeight="1" x14ac:dyDescent="0.2">
      <c r="A34" s="237"/>
      <c r="B34" s="259" t="s">
        <v>35</v>
      </c>
      <c r="C34" s="259"/>
      <c r="D34" s="259"/>
      <c r="E34" s="238"/>
      <c r="F34" s="238"/>
      <c r="G34" s="268">
        <f t="shared" ref="G34:N34" si="6">G31-G33</f>
        <v>851.19999999999982</v>
      </c>
      <c r="H34" s="268">
        <f t="shared" si="6"/>
        <v>718.0999999999998</v>
      </c>
      <c r="I34" s="269">
        <f t="shared" si="6"/>
        <v>814.7000000000005</v>
      </c>
      <c r="J34" s="268">
        <f t="shared" si="6"/>
        <v>850.77033599999982</v>
      </c>
      <c r="K34" s="268">
        <f t="shared" si="6"/>
        <v>890.19627839999953</v>
      </c>
      <c r="L34" s="268">
        <f t="shared" si="6"/>
        <v>931.41506365439977</v>
      </c>
      <c r="M34" s="268">
        <f t="shared" si="6"/>
        <v>974.50703768371216</v>
      </c>
      <c r="N34" s="268">
        <f t="shared" si="6"/>
        <v>1019.556105533522</v>
      </c>
      <c r="O34" s="242"/>
      <c r="P34" s="498">
        <f>RATE($N$27-$I$27,0,I34,-N34)</f>
        <v>4.5881985509766958E-2</v>
      </c>
      <c r="Q34" s="242"/>
      <c r="R34" s="225"/>
      <c r="S34" s="225"/>
      <c r="T34" s="225"/>
      <c r="U34" s="238"/>
    </row>
    <row r="35" spans="1:21" s="3" customFormat="1" ht="13.15" customHeight="1" x14ac:dyDescent="0.2">
      <c r="A35" s="237"/>
      <c r="B35" s="259" t="s">
        <v>36</v>
      </c>
      <c r="C35" s="259"/>
      <c r="D35" s="259"/>
      <c r="E35" s="238"/>
      <c r="F35" s="238"/>
      <c r="G35" s="264">
        <v>-85</v>
      </c>
      <c r="H35" s="264">
        <v>-90</v>
      </c>
      <c r="I35" s="265">
        <v>-115.1</v>
      </c>
      <c r="J35" s="266">
        <f t="shared" ref="J35:N35" si="7">J56*J42</f>
        <v>-127.09678800000002</v>
      </c>
      <c r="K35" s="266">
        <f t="shared" si="7"/>
        <v>-132.85505064</v>
      </c>
      <c r="L35" s="266">
        <f t="shared" si="7"/>
        <v>-138.87061943040004</v>
      </c>
      <c r="M35" s="266">
        <f t="shared" si="7"/>
        <v>-145.15486564300804</v>
      </c>
      <c r="N35" s="266">
        <f t="shared" si="7"/>
        <v>-151.71965856153605</v>
      </c>
      <c r="O35" s="242"/>
      <c r="P35" s="499"/>
      <c r="Q35" s="242"/>
      <c r="R35" s="225"/>
      <c r="S35" s="225"/>
      <c r="T35" s="225"/>
      <c r="U35" s="238"/>
    </row>
    <row r="36" spans="1:21" s="3" customFormat="1" ht="13.15" customHeight="1" x14ac:dyDescent="0.2">
      <c r="A36" s="237"/>
      <c r="B36" s="259" t="s">
        <v>37</v>
      </c>
      <c r="C36" s="259"/>
      <c r="D36" s="259"/>
      <c r="E36" s="238"/>
      <c r="F36" s="238"/>
      <c r="G36" s="264">
        <v>-0.5</v>
      </c>
      <c r="H36" s="264">
        <v>-1.9</v>
      </c>
      <c r="I36" s="265">
        <v>-3.4</v>
      </c>
      <c r="J36" s="266">
        <f t="shared" ref="J36:N36" si="8">-J58</f>
        <v>-4.5</v>
      </c>
      <c r="K36" s="266">
        <f t="shared" si="8"/>
        <v>-4.5999999999999996</v>
      </c>
      <c r="L36" s="266">
        <f t="shared" si="8"/>
        <v>-4.6999999999999993</v>
      </c>
      <c r="M36" s="266">
        <f t="shared" si="8"/>
        <v>-4.7999999999999989</v>
      </c>
      <c r="N36" s="266">
        <f t="shared" si="8"/>
        <v>-4.8999999999999986</v>
      </c>
      <c r="O36" s="242"/>
      <c r="P36" s="499"/>
      <c r="Q36" s="242"/>
      <c r="R36" s="225"/>
      <c r="S36" s="225"/>
      <c r="T36" s="225"/>
      <c r="U36" s="238"/>
    </row>
    <row r="37" spans="1:21" s="3" customFormat="1" ht="13.15" customHeight="1" x14ac:dyDescent="0.2">
      <c r="A37" s="237"/>
      <c r="B37" s="259" t="s">
        <v>38</v>
      </c>
      <c r="C37" s="259"/>
      <c r="D37" s="259"/>
      <c r="E37" s="238"/>
      <c r="F37" s="270"/>
      <c r="G37" s="268">
        <f>SUM(G34:G36)</f>
        <v>765.69999999999982</v>
      </c>
      <c r="H37" s="268">
        <f t="shared" ref="H37:N37" si="9">SUM(H34:H36)</f>
        <v>626.19999999999982</v>
      </c>
      <c r="I37" s="269">
        <f t="shared" si="9"/>
        <v>696.2000000000005</v>
      </c>
      <c r="J37" s="268">
        <f t="shared" si="9"/>
        <v>719.17354799999976</v>
      </c>
      <c r="K37" s="268">
        <f t="shared" si="9"/>
        <v>752.74122775999956</v>
      </c>
      <c r="L37" s="268">
        <f t="shared" si="9"/>
        <v>787.84444422399974</v>
      </c>
      <c r="M37" s="268">
        <f t="shared" si="9"/>
        <v>824.55217204070414</v>
      </c>
      <c r="N37" s="268">
        <f t="shared" si="9"/>
        <v>862.9364469719859</v>
      </c>
      <c r="O37" s="242"/>
      <c r="P37" s="498">
        <f>RATE($N$27-$I$27,0,I37,-N37)</f>
        <v>4.3876110382791864E-2</v>
      </c>
      <c r="Q37" s="242"/>
      <c r="R37" s="225"/>
      <c r="S37" s="225"/>
      <c r="T37" s="225"/>
      <c r="U37" s="238"/>
    </row>
    <row r="38" spans="1:21" s="3" customFormat="1" ht="13.15" customHeight="1" x14ac:dyDescent="0.2">
      <c r="A38" s="237"/>
      <c r="B38" s="259" t="s">
        <v>39</v>
      </c>
      <c r="C38" s="259"/>
      <c r="D38" s="259"/>
      <c r="E38" s="273">
        <v>0.38</v>
      </c>
      <c r="F38" s="238"/>
      <c r="G38" s="266">
        <f t="shared" ref="G38:N38" si="10">-G37*$E$38</f>
        <v>-290.96599999999995</v>
      </c>
      <c r="H38" s="266">
        <f t="shared" si="10"/>
        <v>-237.95599999999993</v>
      </c>
      <c r="I38" s="271">
        <f t="shared" si="10"/>
        <v>-264.55600000000021</v>
      </c>
      <c r="J38" s="266">
        <f t="shared" si="10"/>
        <v>-273.28594823999993</v>
      </c>
      <c r="K38" s="266">
        <f t="shared" si="10"/>
        <v>-286.04166654879981</v>
      </c>
      <c r="L38" s="266">
        <f t="shared" si="10"/>
        <v>-299.38088880511992</v>
      </c>
      <c r="M38" s="266">
        <f t="shared" si="10"/>
        <v>-313.32982537546758</v>
      </c>
      <c r="N38" s="266">
        <f t="shared" si="10"/>
        <v>-327.91584984935463</v>
      </c>
      <c r="O38" s="242"/>
      <c r="P38" s="499"/>
      <c r="Q38" s="242"/>
      <c r="R38" s="242"/>
      <c r="S38" s="238"/>
      <c r="T38" s="238"/>
      <c r="U38" s="238"/>
    </row>
    <row r="39" spans="1:21" s="3" customFormat="1" ht="13.15" customHeight="1" x14ac:dyDescent="0.2">
      <c r="A39" s="354" t="s">
        <v>23</v>
      </c>
      <c r="B39" s="259" t="s">
        <v>40</v>
      </c>
      <c r="C39" s="259"/>
      <c r="D39" s="259"/>
      <c r="E39" s="238"/>
      <c r="F39" s="238"/>
      <c r="G39" s="268">
        <f>SUM(G37:G38)</f>
        <v>474.73399999999987</v>
      </c>
      <c r="H39" s="268">
        <f t="shared" ref="H39:N39" si="11">SUM(H37:H38)</f>
        <v>388.24399999999991</v>
      </c>
      <c r="I39" s="269">
        <f t="shared" si="11"/>
        <v>431.64400000000029</v>
      </c>
      <c r="J39" s="268">
        <f t="shared" si="11"/>
        <v>445.88759975999983</v>
      </c>
      <c r="K39" s="268">
        <f t="shared" si="11"/>
        <v>466.69956121119975</v>
      </c>
      <c r="L39" s="268">
        <f t="shared" si="11"/>
        <v>488.46355541887982</v>
      </c>
      <c r="M39" s="268">
        <f t="shared" si="11"/>
        <v>511.22234666523656</v>
      </c>
      <c r="N39" s="268">
        <f t="shared" si="11"/>
        <v>535.02059712263122</v>
      </c>
      <c r="O39" s="242"/>
      <c r="P39" s="498">
        <f>RATE($N$27-$I$27,0,I39,-N39)</f>
        <v>4.3876110382792086E-2</v>
      </c>
      <c r="Q39" s="242"/>
      <c r="R39" s="238"/>
      <c r="S39" s="238"/>
      <c r="T39" s="238"/>
      <c r="U39" s="238"/>
    </row>
    <row r="40" spans="1:21" s="3" customFormat="1" ht="6.4" customHeight="1" x14ac:dyDescent="0.2">
      <c r="A40" s="237"/>
      <c r="B40" s="238"/>
      <c r="C40" s="238"/>
      <c r="D40" s="238"/>
      <c r="E40" s="238"/>
      <c r="F40" s="238"/>
      <c r="G40" s="270"/>
      <c r="H40" s="270"/>
      <c r="I40" s="271"/>
      <c r="J40" s="270"/>
      <c r="K40" s="270"/>
      <c r="L40" s="270"/>
      <c r="M40" s="270"/>
      <c r="N40" s="270"/>
      <c r="O40" s="242"/>
      <c r="P40" s="499"/>
      <c r="Q40" s="242"/>
      <c r="R40" s="238"/>
      <c r="S40" s="238"/>
      <c r="T40" s="238"/>
      <c r="U40" s="238"/>
    </row>
    <row r="41" spans="1:21" s="3" customFormat="1" ht="13.15" customHeight="1" x14ac:dyDescent="0.2">
      <c r="A41" s="237"/>
      <c r="B41" s="259" t="s">
        <v>42</v>
      </c>
      <c r="C41" s="259"/>
      <c r="D41" s="259"/>
      <c r="E41" s="238"/>
      <c r="F41" s="238"/>
      <c r="G41" s="270"/>
      <c r="H41" s="270">
        <f t="shared" ref="H41:N41" si="12">-(H35+H36)</f>
        <v>91.9</v>
      </c>
      <c r="I41" s="271">
        <f t="shared" si="12"/>
        <v>118.5</v>
      </c>
      <c r="J41" s="270">
        <f t="shared" si="12"/>
        <v>131.596788</v>
      </c>
      <c r="K41" s="270">
        <f t="shared" si="12"/>
        <v>137.45505064</v>
      </c>
      <c r="L41" s="270">
        <f t="shared" si="12"/>
        <v>143.57061943040003</v>
      </c>
      <c r="M41" s="270">
        <f t="shared" si="12"/>
        <v>149.95486564300805</v>
      </c>
      <c r="N41" s="270">
        <f t="shared" si="12"/>
        <v>156.61965856153606</v>
      </c>
      <c r="O41" s="242"/>
      <c r="P41" s="499"/>
      <c r="Q41" s="242"/>
      <c r="R41" s="238"/>
      <c r="S41" s="238"/>
      <c r="T41" s="238"/>
      <c r="U41" s="238"/>
    </row>
    <row r="42" spans="1:21" s="3" customFormat="1" ht="13.15" customHeight="1" x14ac:dyDescent="0.2">
      <c r="A42" s="237"/>
      <c r="B42" s="259" t="s">
        <v>45</v>
      </c>
      <c r="C42" s="259"/>
      <c r="D42" s="259"/>
      <c r="E42" s="238"/>
      <c r="F42" s="238"/>
      <c r="G42" s="270"/>
      <c r="H42" s="264">
        <v>-95.8</v>
      </c>
      <c r="I42" s="265">
        <v>-120.6</v>
      </c>
      <c r="J42" s="266">
        <f>-J55*J29</f>
        <v>-129.69060000000002</v>
      </c>
      <c r="K42" s="266">
        <f t="shared" ref="K42:N42" si="13">-K55*K29</f>
        <v>-134.87822400000002</v>
      </c>
      <c r="L42" s="266">
        <f t="shared" si="13"/>
        <v>-140.27335296000004</v>
      </c>
      <c r="M42" s="266">
        <f t="shared" si="13"/>
        <v>-145.88428707840004</v>
      </c>
      <c r="N42" s="266">
        <f t="shared" si="13"/>
        <v>-151.71965856153605</v>
      </c>
      <c r="O42" s="242"/>
      <c r="P42" s="499"/>
      <c r="Q42" s="242"/>
      <c r="R42" s="238"/>
      <c r="S42" s="238"/>
      <c r="T42" s="238"/>
      <c r="U42" s="238"/>
    </row>
    <row r="43" spans="1:21" s="3" customFormat="1" ht="13.15" customHeight="1" x14ac:dyDescent="0.2">
      <c r="A43" s="237"/>
      <c r="B43" s="259" t="s">
        <v>49</v>
      </c>
      <c r="C43" s="259"/>
      <c r="D43" s="259"/>
      <c r="E43" s="238"/>
      <c r="F43" s="238"/>
      <c r="G43" s="270"/>
      <c r="H43" s="264">
        <v>-2</v>
      </c>
      <c r="I43" s="265">
        <v>-4</v>
      </c>
      <c r="J43" s="266">
        <f t="shared" ref="J43:N43" si="14">-J57</f>
        <v>-5</v>
      </c>
      <c r="K43" s="266">
        <f t="shared" si="14"/>
        <v>-5</v>
      </c>
      <c r="L43" s="266">
        <f t="shared" si="14"/>
        <v>-5</v>
      </c>
      <c r="M43" s="266">
        <f t="shared" si="14"/>
        <v>-5</v>
      </c>
      <c r="N43" s="266">
        <f t="shared" si="14"/>
        <v>-5</v>
      </c>
      <c r="O43" s="242"/>
      <c r="P43" s="499"/>
      <c r="Q43" s="242"/>
      <c r="R43" s="238"/>
      <c r="S43" s="238"/>
      <c r="T43" s="238"/>
      <c r="U43" s="238"/>
    </row>
    <row r="44" spans="1:21" s="3" customFormat="1" ht="13.15" customHeight="1" x14ac:dyDescent="0.2">
      <c r="A44" s="237"/>
      <c r="B44" s="274" t="s">
        <v>53</v>
      </c>
      <c r="C44" s="259"/>
      <c r="D44" s="259"/>
      <c r="E44" s="259"/>
      <c r="F44" s="259"/>
      <c r="G44" s="270"/>
      <c r="H44" s="264">
        <v>-19.2</v>
      </c>
      <c r="I44" s="265">
        <v>-20</v>
      </c>
      <c r="J44" s="266">
        <f t="shared" ref="J44:N44" si="15">J59*J29</f>
        <v>-20.750496000000002</v>
      </c>
      <c r="K44" s="266">
        <f t="shared" si="15"/>
        <v>-21.580515840000004</v>
      </c>
      <c r="L44" s="266">
        <f t="shared" si="15"/>
        <v>-22.443736473600005</v>
      </c>
      <c r="M44" s="266">
        <f t="shared" si="15"/>
        <v>-23.341485932544007</v>
      </c>
      <c r="N44" s="266">
        <f t="shared" si="15"/>
        <v>-24.275145369845767</v>
      </c>
      <c r="O44" s="242"/>
      <c r="P44" s="499"/>
      <c r="Q44" s="275"/>
      <c r="R44" s="242"/>
      <c r="S44" s="238"/>
      <c r="T44" s="238"/>
      <c r="U44" s="238"/>
    </row>
    <row r="45" spans="1:21" s="39" customFormat="1" ht="13.15" customHeight="1" x14ac:dyDescent="0.2">
      <c r="A45" s="354" t="s">
        <v>23</v>
      </c>
      <c r="B45" s="276" t="s">
        <v>54</v>
      </c>
      <c r="C45" s="276"/>
      <c r="D45" s="276"/>
      <c r="E45" s="240"/>
      <c r="F45" s="240"/>
      <c r="G45" s="277"/>
      <c r="H45" s="278">
        <f>SUM(H39:H44)</f>
        <v>363.14399999999989</v>
      </c>
      <c r="I45" s="279">
        <f>SUM(I39:I44)</f>
        <v>405.54400000000021</v>
      </c>
      <c r="J45" s="278">
        <f t="shared" ref="J45:N45" si="16">SUM(J39:J44)</f>
        <v>422.04329175999987</v>
      </c>
      <c r="K45" s="278">
        <f t="shared" si="16"/>
        <v>442.69587201119975</v>
      </c>
      <c r="L45" s="278">
        <f t="shared" si="16"/>
        <v>464.31708541567991</v>
      </c>
      <c r="M45" s="278">
        <f t="shared" si="16"/>
        <v>486.95143929730062</v>
      </c>
      <c r="N45" s="278">
        <f t="shared" si="16"/>
        <v>510.64545175278556</v>
      </c>
      <c r="O45" s="240"/>
      <c r="P45" s="500">
        <f>RATE($N$27-$I$27,0,I45,-N45)</f>
        <v>4.7167843799333226E-2</v>
      </c>
      <c r="Q45" s="240"/>
      <c r="R45" s="240"/>
      <c r="S45" s="281"/>
      <c r="T45" s="281"/>
      <c r="U45" s="281"/>
    </row>
    <row r="46" spans="1:21" s="39" customFormat="1" ht="13.15" customHeight="1" x14ac:dyDescent="0.2">
      <c r="A46" s="237"/>
      <c r="B46" s="276"/>
      <c r="C46" s="276"/>
      <c r="D46" s="276"/>
      <c r="E46" s="240"/>
      <c r="F46" s="240"/>
      <c r="G46" s="277"/>
      <c r="H46" s="282"/>
      <c r="I46" s="282"/>
      <c r="J46" s="282"/>
      <c r="K46" s="282"/>
      <c r="L46" s="282"/>
      <c r="M46" s="282"/>
      <c r="N46" s="282"/>
      <c r="O46" s="240"/>
      <c r="P46" s="283"/>
      <c r="Q46" s="240"/>
      <c r="R46" s="240"/>
      <c r="S46" s="281"/>
      <c r="T46" s="281"/>
      <c r="U46" s="281"/>
    </row>
    <row r="47" spans="1:21" s="6" customFormat="1" ht="13.15" customHeight="1" x14ac:dyDescent="0.2">
      <c r="A47" s="237"/>
      <c r="B47" s="284"/>
      <c r="C47" s="284"/>
      <c r="D47" s="284"/>
      <c r="E47" s="249"/>
      <c r="F47" s="249"/>
      <c r="G47" s="242"/>
      <c r="H47" s="285"/>
      <c r="I47" s="285"/>
      <c r="J47" s="285"/>
      <c r="K47" s="285"/>
      <c r="L47" s="285"/>
      <c r="M47" s="285"/>
      <c r="N47" s="285"/>
      <c r="O47" s="242"/>
      <c r="P47" s="242"/>
      <c r="Q47" s="242"/>
      <c r="R47" s="242"/>
      <c r="S47" s="242"/>
      <c r="T47" s="242"/>
      <c r="U47" s="242"/>
    </row>
    <row r="48" spans="1:21" s="3" customFormat="1" ht="12.75" customHeight="1" x14ac:dyDescent="0.2">
      <c r="A48" s="237"/>
      <c r="B48" s="238"/>
      <c r="C48" s="238"/>
      <c r="D48" s="238"/>
      <c r="E48" s="238"/>
      <c r="F48" s="238"/>
      <c r="G48" s="252" t="s">
        <v>28</v>
      </c>
      <c r="H48" s="253"/>
      <c r="I48" s="254"/>
      <c r="J48" s="252" t="s">
        <v>29</v>
      </c>
      <c r="K48" s="255"/>
      <c r="L48" s="255"/>
      <c r="M48" s="255"/>
      <c r="N48" s="256"/>
      <c r="O48" s="238"/>
      <c r="P48" s="238"/>
      <c r="Q48" s="238"/>
      <c r="R48" s="238"/>
      <c r="S48" s="238"/>
      <c r="T48" s="238"/>
      <c r="U48" s="238"/>
    </row>
    <row r="49" spans="1:21" s="3" customFormat="1" ht="13.15" customHeight="1" x14ac:dyDescent="0.2">
      <c r="A49" s="237"/>
      <c r="B49" s="286" t="s">
        <v>55</v>
      </c>
      <c r="C49" s="238"/>
      <c r="D49" s="238"/>
      <c r="E49" s="238"/>
      <c r="F49" s="238"/>
      <c r="G49" s="379">
        <f t="shared" ref="G49:N49" si="17">G27</f>
        <v>2013</v>
      </c>
      <c r="H49" s="379">
        <f t="shared" si="17"/>
        <v>2014</v>
      </c>
      <c r="I49" s="380">
        <f t="shared" si="17"/>
        <v>2015</v>
      </c>
      <c r="J49" s="379">
        <f t="shared" si="17"/>
        <v>2016</v>
      </c>
      <c r="K49" s="379">
        <f t="shared" si="17"/>
        <v>2017</v>
      </c>
      <c r="L49" s="379">
        <f t="shared" si="17"/>
        <v>2018</v>
      </c>
      <c r="M49" s="379">
        <f t="shared" si="17"/>
        <v>2019</v>
      </c>
      <c r="N49" s="379">
        <f t="shared" si="17"/>
        <v>2020</v>
      </c>
      <c r="O49" s="238"/>
      <c r="P49" s="242"/>
      <c r="Q49" s="287" t="s">
        <v>56</v>
      </c>
      <c r="R49" s="238"/>
      <c r="S49" s="238"/>
      <c r="T49" s="238"/>
      <c r="U49" s="238"/>
    </row>
    <row r="50" spans="1:21" s="3" customFormat="1" ht="12.75" customHeight="1" x14ac:dyDescent="0.2">
      <c r="A50" s="237"/>
      <c r="B50" s="238"/>
      <c r="C50" s="238"/>
      <c r="D50" s="238"/>
      <c r="E50" s="238"/>
      <c r="F50" s="238"/>
      <c r="G50" s="242"/>
      <c r="H50" s="242"/>
      <c r="I50" s="258"/>
      <c r="J50" s="242"/>
      <c r="K50" s="242"/>
      <c r="L50" s="242"/>
      <c r="M50" s="242"/>
      <c r="N50" s="242"/>
      <c r="O50" s="238"/>
      <c r="P50" s="242"/>
      <c r="Q50" s="238"/>
      <c r="R50" s="238"/>
      <c r="S50" s="288" t="s">
        <v>41</v>
      </c>
      <c r="T50" s="289"/>
      <c r="U50" s="290"/>
    </row>
    <row r="51" spans="1:21" s="6" customFormat="1" ht="13.15" customHeight="1" x14ac:dyDescent="0.2">
      <c r="A51" s="237"/>
      <c r="B51" s="242"/>
      <c r="C51" s="291" t="s">
        <v>57</v>
      </c>
      <c r="D51" s="242"/>
      <c r="E51" s="242"/>
      <c r="F51" s="242"/>
      <c r="G51" s="534"/>
      <c r="H51" s="263">
        <f>H29/G29-1</f>
        <v>2.6982426060865761E-2</v>
      </c>
      <c r="I51" s="292">
        <f>I29/H29-1</f>
        <v>4.0944093157202932E-2</v>
      </c>
      <c r="J51" s="293">
        <v>0.04</v>
      </c>
      <c r="K51" s="263">
        <f t="shared" ref="K51:N53" si="18">J51</f>
        <v>0.04</v>
      </c>
      <c r="L51" s="263">
        <f t="shared" si="18"/>
        <v>0.04</v>
      </c>
      <c r="M51" s="263">
        <f t="shared" si="18"/>
        <v>0.04</v>
      </c>
      <c r="N51" s="263">
        <f t="shared" si="18"/>
        <v>0.04</v>
      </c>
      <c r="O51" s="242"/>
      <c r="P51" s="242"/>
      <c r="Q51" s="293"/>
      <c r="R51" s="242"/>
      <c r="S51" s="294"/>
      <c r="T51" s="295" t="s">
        <v>43</v>
      </c>
      <c r="U51" s="296" t="s">
        <v>44</v>
      </c>
    </row>
    <row r="52" spans="1:21" s="3" customFormat="1" ht="13.15" customHeight="1" x14ac:dyDescent="0.2">
      <c r="A52" s="237"/>
      <c r="B52" s="242"/>
      <c r="C52" s="291" t="s">
        <v>58</v>
      </c>
      <c r="D52" s="238"/>
      <c r="E52" s="238"/>
      <c r="F52" s="242"/>
      <c r="G52" s="263">
        <f>G30/G29</f>
        <v>0.74984997856836699</v>
      </c>
      <c r="H52" s="263">
        <f t="shared" ref="H52:I52" si="19">H30/H29</f>
        <v>0.78626432104175803</v>
      </c>
      <c r="I52" s="292">
        <f t="shared" si="19"/>
        <v>0.78047753653695784</v>
      </c>
      <c r="J52" s="293">
        <v>0.78</v>
      </c>
      <c r="K52" s="263">
        <f t="shared" ref="K52:N52" si="20">J52+$Q52</f>
        <v>0.77900000000000003</v>
      </c>
      <c r="L52" s="263">
        <f t="shared" si="20"/>
        <v>0.77800000000000002</v>
      </c>
      <c r="M52" s="263">
        <f t="shared" si="20"/>
        <v>0.77700000000000002</v>
      </c>
      <c r="N52" s="263">
        <f t="shared" si="20"/>
        <v>0.77600000000000002</v>
      </c>
      <c r="O52" s="238"/>
      <c r="P52" s="238"/>
      <c r="Q52" s="293">
        <v>-1E-3</v>
      </c>
      <c r="R52" s="238"/>
      <c r="S52" s="297" t="s">
        <v>46</v>
      </c>
      <c r="T52" s="298" t="s">
        <v>47</v>
      </c>
      <c r="U52" s="299" t="s">
        <v>48</v>
      </c>
    </row>
    <row r="53" spans="1:21" s="3" customFormat="1" ht="13.15" customHeight="1" x14ac:dyDescent="0.2">
      <c r="A53" s="237"/>
      <c r="B53" s="242"/>
      <c r="C53" s="291" t="s">
        <v>59</v>
      </c>
      <c r="D53" s="238"/>
      <c r="E53" s="238"/>
      <c r="F53" s="242"/>
      <c r="G53" s="263">
        <f>G33/G29</f>
        <v>6.7723960565795119E-2</v>
      </c>
      <c r="H53" s="263">
        <f>H33/H29</f>
        <v>6.3878628518959091E-2</v>
      </c>
      <c r="I53" s="292">
        <f>I33/I29</f>
        <v>5.6193741103827105E-2</v>
      </c>
      <c r="J53" s="293">
        <v>5.6000000000000001E-2</v>
      </c>
      <c r="K53" s="263">
        <f t="shared" si="18"/>
        <v>5.6000000000000001E-2</v>
      </c>
      <c r="L53" s="263">
        <f t="shared" si="18"/>
        <v>5.6000000000000001E-2</v>
      </c>
      <c r="M53" s="263">
        <f t="shared" si="18"/>
        <v>5.6000000000000001E-2</v>
      </c>
      <c r="N53" s="263">
        <f t="shared" si="18"/>
        <v>5.6000000000000001E-2</v>
      </c>
      <c r="O53" s="238"/>
      <c r="P53" s="238"/>
      <c r="Q53" s="293"/>
      <c r="R53" s="238"/>
      <c r="S53" s="300" t="s">
        <v>50</v>
      </c>
      <c r="T53" s="301" t="s">
        <v>51</v>
      </c>
      <c r="U53" s="302" t="s">
        <v>52</v>
      </c>
    </row>
    <row r="54" spans="1:21" s="3" customFormat="1" ht="13.15" customHeight="1" x14ac:dyDescent="0.2">
      <c r="A54" s="237"/>
      <c r="B54" s="238"/>
      <c r="C54" s="303" t="s">
        <v>60</v>
      </c>
      <c r="D54" s="238"/>
      <c r="E54" s="238"/>
      <c r="F54" s="238"/>
      <c r="G54" s="263">
        <f>G34/G29</f>
        <v>0.18242606086583793</v>
      </c>
      <c r="H54" s="263">
        <f t="shared" ref="H54:N54" si="21">H34/H29</f>
        <v>0.14985705043928294</v>
      </c>
      <c r="I54" s="292">
        <f t="shared" si="21"/>
        <v>0.16332872235921503</v>
      </c>
      <c r="J54" s="263">
        <f t="shared" si="21"/>
        <v>0.16399999999999995</v>
      </c>
      <c r="K54" s="263">
        <f t="shared" si="21"/>
        <v>0.1649999999999999</v>
      </c>
      <c r="L54" s="263">
        <f t="shared" si="21"/>
        <v>0.16599999999999993</v>
      </c>
      <c r="M54" s="263">
        <f t="shared" si="21"/>
        <v>0.16699999999999998</v>
      </c>
      <c r="N54" s="263">
        <f t="shared" si="21"/>
        <v>0.16799999999999995</v>
      </c>
      <c r="O54" s="238"/>
      <c r="P54" s="238"/>
      <c r="Q54" s="293"/>
      <c r="R54" s="238"/>
      <c r="S54" s="238"/>
      <c r="T54" s="238"/>
      <c r="U54" s="238"/>
    </row>
    <row r="55" spans="1:21" s="3" customFormat="1" ht="13.15" customHeight="1" x14ac:dyDescent="0.2">
      <c r="A55" s="237"/>
      <c r="B55" s="238"/>
      <c r="C55" s="303" t="s">
        <v>61</v>
      </c>
      <c r="D55" s="238"/>
      <c r="E55" s="238"/>
      <c r="F55" s="238"/>
      <c r="G55" s="238"/>
      <c r="H55" s="263">
        <f>IF(H29=0,0,-H42/H29)</f>
        <v>1.9992069951376281E-2</v>
      </c>
      <c r="I55" s="292">
        <f>IF(I29=0,0,-I42/I29)</f>
        <v>2.4177542551272024E-2</v>
      </c>
      <c r="J55" s="293">
        <v>2.5000000000000001E-2</v>
      </c>
      <c r="K55" s="263">
        <f t="shared" ref="K55:N59" si="22">J55</f>
        <v>2.5000000000000001E-2</v>
      </c>
      <c r="L55" s="263">
        <f t="shared" si="22"/>
        <v>2.5000000000000001E-2</v>
      </c>
      <c r="M55" s="263">
        <f t="shared" si="22"/>
        <v>2.5000000000000001E-2</v>
      </c>
      <c r="N55" s="263">
        <f t="shared" si="22"/>
        <v>2.5000000000000001E-2</v>
      </c>
      <c r="O55" s="238"/>
      <c r="P55" s="238"/>
      <c r="Q55" s="293"/>
      <c r="R55" s="238"/>
      <c r="S55" s="238"/>
      <c r="T55" s="238"/>
      <c r="U55" s="238"/>
    </row>
    <row r="56" spans="1:21" s="3" customFormat="1" ht="13.15" customHeight="1" x14ac:dyDescent="0.2">
      <c r="A56" s="237"/>
      <c r="B56" s="238"/>
      <c r="C56" s="303" t="s">
        <v>62</v>
      </c>
      <c r="D56" s="238"/>
      <c r="E56" s="238"/>
      <c r="F56" s="238"/>
      <c r="G56" s="304"/>
      <c r="H56" s="263">
        <f>IF(H42=0,0,H35/H42)</f>
        <v>0.93945720250521925</v>
      </c>
      <c r="I56" s="292">
        <f>IF(I42=0,0,I35/I42)</f>
        <v>0.95439469320066339</v>
      </c>
      <c r="J56" s="293">
        <v>0.98</v>
      </c>
      <c r="K56" s="263">
        <f t="shared" ref="K56:N56" si="23">J56+$Q56</f>
        <v>0.98499999999999999</v>
      </c>
      <c r="L56" s="263">
        <f t="shared" si="23"/>
        <v>0.99</v>
      </c>
      <c r="M56" s="263">
        <f t="shared" si="23"/>
        <v>0.995</v>
      </c>
      <c r="N56" s="263">
        <f t="shared" si="23"/>
        <v>1</v>
      </c>
      <c r="O56" s="238"/>
      <c r="P56" s="238"/>
      <c r="Q56" s="293">
        <v>5.0000000000000001E-3</v>
      </c>
      <c r="R56" s="238"/>
      <c r="S56" s="238"/>
      <c r="T56" s="238"/>
      <c r="U56" s="238"/>
    </row>
    <row r="57" spans="1:21" s="3" customFormat="1" ht="13.15" customHeight="1" x14ac:dyDescent="0.2">
      <c r="A57" s="237"/>
      <c r="B57" s="238"/>
      <c r="C57" s="303" t="s">
        <v>63</v>
      </c>
      <c r="D57" s="238"/>
      <c r="E57" s="238"/>
      <c r="F57" s="238"/>
      <c r="G57" s="238"/>
      <c r="H57" s="305">
        <f>-H43</f>
        <v>2</v>
      </c>
      <c r="I57" s="306">
        <f>-I43</f>
        <v>4</v>
      </c>
      <c r="J57" s="307">
        <v>5</v>
      </c>
      <c r="K57" s="308">
        <f t="shared" si="22"/>
        <v>5</v>
      </c>
      <c r="L57" s="308">
        <f t="shared" si="22"/>
        <v>5</v>
      </c>
      <c r="M57" s="308">
        <f t="shared" si="22"/>
        <v>5</v>
      </c>
      <c r="N57" s="308">
        <f t="shared" si="22"/>
        <v>5</v>
      </c>
      <c r="O57" s="238"/>
      <c r="P57" s="238"/>
      <c r="Q57" s="307"/>
      <c r="R57" s="238"/>
      <c r="S57" s="238"/>
      <c r="T57" s="238"/>
      <c r="U57" s="309"/>
    </row>
    <row r="58" spans="1:21" s="3" customFormat="1" ht="13.15" customHeight="1" x14ac:dyDescent="0.2">
      <c r="A58" s="237"/>
      <c r="B58" s="238"/>
      <c r="C58" s="303" t="s">
        <v>64</v>
      </c>
      <c r="D58" s="238"/>
      <c r="E58" s="238"/>
      <c r="F58" s="238"/>
      <c r="G58" s="238"/>
      <c r="H58" s="270">
        <f>-H36</f>
        <v>1.9</v>
      </c>
      <c r="I58" s="271">
        <f>-I36</f>
        <v>3.4</v>
      </c>
      <c r="J58" s="310">
        <v>4.5</v>
      </c>
      <c r="K58" s="311">
        <f t="shared" ref="K58:N58" si="24">J58+$Q58</f>
        <v>4.5999999999999996</v>
      </c>
      <c r="L58" s="311">
        <f t="shared" si="24"/>
        <v>4.6999999999999993</v>
      </c>
      <c r="M58" s="311">
        <f t="shared" si="24"/>
        <v>4.7999999999999989</v>
      </c>
      <c r="N58" s="311">
        <f t="shared" si="24"/>
        <v>4.8999999999999986</v>
      </c>
      <c r="O58" s="238"/>
      <c r="P58" s="238"/>
      <c r="Q58" s="310">
        <v>0.1</v>
      </c>
      <c r="R58" s="238"/>
      <c r="S58" s="238"/>
      <c r="T58" s="238"/>
      <c r="U58" s="238"/>
    </row>
    <row r="59" spans="1:21" s="3" customFormat="1" ht="13.15" customHeight="1" x14ac:dyDescent="0.2">
      <c r="A59" s="237"/>
      <c r="B59" s="238"/>
      <c r="C59" s="303" t="s">
        <v>65</v>
      </c>
      <c r="D59" s="238"/>
      <c r="E59" s="238"/>
      <c r="F59" s="238"/>
      <c r="G59" s="225"/>
      <c r="H59" s="263">
        <f>IF(H29=0,0,H44/H29)</f>
        <v>-4.0067614098791716E-3</v>
      </c>
      <c r="I59" s="292">
        <f>IF(I29=0,0,I44/I29)</f>
        <v>-4.0095427116537356E-3</v>
      </c>
      <c r="J59" s="293">
        <v>-4.0000000000000001E-3</v>
      </c>
      <c r="K59" s="263">
        <f t="shared" si="22"/>
        <v>-4.0000000000000001E-3</v>
      </c>
      <c r="L59" s="263">
        <f t="shared" si="22"/>
        <v>-4.0000000000000001E-3</v>
      </c>
      <c r="M59" s="263">
        <f t="shared" si="22"/>
        <v>-4.0000000000000001E-3</v>
      </c>
      <c r="N59" s="263">
        <f t="shared" si="22"/>
        <v>-4.0000000000000001E-3</v>
      </c>
      <c r="O59" s="238"/>
      <c r="P59" s="238"/>
      <c r="Q59" s="293"/>
      <c r="R59" s="238"/>
      <c r="S59" s="238"/>
      <c r="T59" s="238"/>
      <c r="U59" s="238"/>
    </row>
    <row r="60" spans="1:21" s="3" customFormat="1" ht="13.15" customHeight="1" x14ac:dyDescent="0.2">
      <c r="A60" s="237"/>
      <c r="B60" s="225"/>
      <c r="C60" s="225"/>
      <c r="D60" s="225"/>
      <c r="E60" s="225"/>
      <c r="F60" s="238"/>
      <c r="G60" s="259"/>
      <c r="H60" s="304"/>
      <c r="I60" s="304"/>
      <c r="J60" s="312"/>
      <c r="K60" s="313"/>
      <c r="L60" s="313"/>
      <c r="M60" s="313"/>
      <c r="N60" s="313"/>
      <c r="O60" s="238"/>
      <c r="P60" s="238"/>
      <c r="Q60" s="225"/>
      <c r="R60" s="238"/>
      <c r="S60" s="238"/>
      <c r="T60" s="238"/>
      <c r="U60" s="238"/>
    </row>
    <row r="61" spans="1:21" ht="13.15" customHeight="1" x14ac:dyDescent="0.2">
      <c r="A61" s="237"/>
      <c r="B61" s="225"/>
      <c r="C61" s="314" t="s">
        <v>66</v>
      </c>
      <c r="D61" s="315"/>
      <c r="E61" s="316"/>
      <c r="F61" s="316"/>
      <c r="G61" s="317">
        <v>0.08</v>
      </c>
      <c r="H61" s="225"/>
      <c r="I61" s="252" t="s">
        <v>67</v>
      </c>
      <c r="J61" s="318"/>
      <c r="K61" s="253"/>
      <c r="L61" s="253"/>
      <c r="M61" s="253"/>
      <c r="N61" s="254"/>
      <c r="O61" s="225"/>
      <c r="P61" s="225"/>
      <c r="Q61" s="225"/>
      <c r="R61" s="225"/>
      <c r="S61" s="225"/>
      <c r="T61" s="225"/>
      <c r="U61" s="225"/>
    </row>
    <row r="62" spans="1:21" ht="13.15" customHeight="1" x14ac:dyDescent="0.2">
      <c r="A62" s="237"/>
      <c r="B62" s="225"/>
      <c r="C62" s="319" t="s">
        <v>68</v>
      </c>
      <c r="D62" s="320"/>
      <c r="E62" s="285"/>
      <c r="F62" s="285"/>
      <c r="G62" s="321">
        <v>0.03</v>
      </c>
      <c r="H62" s="225"/>
      <c r="I62" s="225"/>
      <c r="J62" s="322"/>
      <c r="K62" s="323" t="s">
        <v>57</v>
      </c>
      <c r="L62" s="324"/>
      <c r="M62" s="324"/>
      <c r="N62" s="324"/>
      <c r="O62" s="225"/>
      <c r="P62" s="225"/>
      <c r="Q62" s="325" t="s">
        <v>69</v>
      </c>
      <c r="R62" s="326" t="s">
        <v>70</v>
      </c>
      <c r="S62" s="225"/>
      <c r="T62" s="225"/>
      <c r="U62" s="225"/>
    </row>
    <row r="63" spans="1:21" ht="13.15" customHeight="1" x14ac:dyDescent="0.2">
      <c r="A63" s="237"/>
      <c r="B63" s="225"/>
      <c r="C63" s="225"/>
      <c r="D63" s="225"/>
      <c r="E63" s="225"/>
      <c r="F63" s="225"/>
      <c r="G63" s="225"/>
      <c r="H63" s="225"/>
      <c r="I63" s="225"/>
      <c r="J63" s="327">
        <f>G74</f>
        <v>35.318422253643227</v>
      </c>
      <c r="K63" s="328">
        <v>0.03</v>
      </c>
      <c r="L63" s="329">
        <f>K63+$R$63</f>
        <v>3.4999999999999996E-2</v>
      </c>
      <c r="M63" s="329">
        <f>L63+$R$63</f>
        <v>3.9999999999999994E-2</v>
      </c>
      <c r="N63" s="329">
        <f>M63+$R$63</f>
        <v>4.4999999999999991E-2</v>
      </c>
      <c r="O63" s="225"/>
      <c r="P63" s="225"/>
      <c r="Q63" s="330">
        <v>3.0000000000000001E-3</v>
      </c>
      <c r="R63" s="330">
        <v>5.0000000000000001E-3</v>
      </c>
      <c r="S63" s="225"/>
      <c r="T63" s="225"/>
      <c r="U63" s="225"/>
    </row>
    <row r="64" spans="1:21" ht="13.15" customHeight="1" x14ac:dyDescent="0.2">
      <c r="A64" s="237"/>
      <c r="B64" s="225"/>
      <c r="C64" s="259" t="s">
        <v>71</v>
      </c>
      <c r="D64" s="259"/>
      <c r="E64" s="238"/>
      <c r="F64" s="238"/>
      <c r="G64" s="305">
        <f>NPV(G61,J45:N45)</f>
        <v>1844.3716136761091</v>
      </c>
      <c r="H64" s="225"/>
      <c r="I64" s="225"/>
      <c r="J64" s="272">
        <f>J65-$Q$63</f>
        <v>0.76800000000000002</v>
      </c>
      <c r="K64" s="331">
        <f t="dataTable" ref="K64:N72" dt2D="1" dtr="1" r1="J51" r2="J52" ca="1"/>
        <v>36.862751997804658</v>
      </c>
      <c r="L64" s="332">
        <v>37.736745332408042</v>
      </c>
      <c r="M64" s="332">
        <v>38.626999608761729</v>
      </c>
      <c r="N64" s="333">
        <v>39.53374604462735</v>
      </c>
      <c r="O64" s="225"/>
      <c r="P64" s="225"/>
      <c r="Q64" s="225"/>
      <c r="R64" s="225"/>
      <c r="S64" s="225"/>
      <c r="T64" s="225"/>
      <c r="U64" s="225"/>
    </row>
    <row r="65" spans="1:22" ht="13.15" customHeight="1" x14ac:dyDescent="0.2">
      <c r="A65" s="237"/>
      <c r="B65" s="225"/>
      <c r="C65" s="334" t="s">
        <v>72</v>
      </c>
      <c r="D65" s="334"/>
      <c r="E65" s="242"/>
      <c r="F65" s="242"/>
      <c r="G65" s="335">
        <f>(N45*(1+G62)) / (G61-G62)</f>
        <v>10519.296306107382</v>
      </c>
      <c r="H65" s="225"/>
      <c r="I65" s="225"/>
      <c r="J65" s="329">
        <f>J66-$Q$63</f>
        <v>0.77100000000000002</v>
      </c>
      <c r="K65" s="336">
        <v>36.071285838562318</v>
      </c>
      <c r="L65" s="337">
        <v>36.927604366941985</v>
      </c>
      <c r="M65" s="337">
        <v>37.799855269982096</v>
      </c>
      <c r="N65" s="338">
        <v>38.688265094931339</v>
      </c>
      <c r="O65" s="225"/>
      <c r="P65" s="225"/>
      <c r="Q65" s="551" t="str">
        <f>"Steps to complete the data table"</f>
        <v>Steps to complete the data table</v>
      </c>
      <c r="R65" s="552"/>
      <c r="S65" s="552"/>
      <c r="T65" s="552"/>
      <c r="U65" s="552"/>
      <c r="V65" s="553"/>
    </row>
    <row r="66" spans="1:22" ht="13.15" customHeight="1" x14ac:dyDescent="0.2">
      <c r="A66" s="237"/>
      <c r="B66" s="225"/>
      <c r="C66" s="259" t="s">
        <v>73</v>
      </c>
      <c r="D66" s="259"/>
      <c r="E66" s="238"/>
      <c r="F66" s="238"/>
      <c r="G66" s="270">
        <f>PV(G61,5,0,-G65)</f>
        <v>7159.2563105559111</v>
      </c>
      <c r="H66" s="225"/>
      <c r="I66" s="339"/>
      <c r="J66" s="329">
        <f>J67-$Q$63</f>
        <v>0.77400000000000002</v>
      </c>
      <c r="K66" s="336">
        <v>35.279819679319971</v>
      </c>
      <c r="L66" s="337">
        <v>36.118463401475893</v>
      </c>
      <c r="M66" s="337">
        <v>36.972710931202471</v>
      </c>
      <c r="N66" s="338">
        <v>37.842784145235349</v>
      </c>
      <c r="O66" s="225"/>
      <c r="P66" s="225"/>
      <c r="Q66" s="554" t="str">
        <f>"1) Link the ''Output Cell'' "&amp;ADDRESS(ROW(J63),COLUMN(J63),4) &amp;" to the cell you want to ''study'' "&amp;ADDRESS(ROW(G74),COLUMN(G74),4)</f>
        <v>1) Link the ''Output Cell'' J63 to the cell you want to ''study'' G74</v>
      </c>
      <c r="R66" s="200"/>
      <c r="S66" s="200"/>
      <c r="T66" s="200"/>
      <c r="U66" s="200"/>
      <c r="V66" s="555"/>
    </row>
    <row r="67" spans="1:22" ht="13.15" customHeight="1" x14ac:dyDescent="0.2">
      <c r="A67" s="237"/>
      <c r="B67" s="225"/>
      <c r="C67" s="340" t="s">
        <v>74</v>
      </c>
      <c r="D67" s="340"/>
      <c r="E67" s="341"/>
      <c r="F67" s="341"/>
      <c r="G67" s="342">
        <f>G64 + G66</f>
        <v>9003.6279242320197</v>
      </c>
      <c r="H67" s="225"/>
      <c r="I67" s="225"/>
      <c r="J67" s="329">
        <f>J68-$Q$63</f>
        <v>0.77700000000000002</v>
      </c>
      <c r="K67" s="336">
        <v>34.488353520077624</v>
      </c>
      <c r="L67" s="337">
        <v>35.309322436009843</v>
      </c>
      <c r="M67" s="337">
        <v>36.145566592422874</v>
      </c>
      <c r="N67" s="338">
        <v>36.997303195539359</v>
      </c>
      <c r="O67" s="225"/>
      <c r="P67" s="225"/>
      <c r="Q67" s="554" t="str">
        <f>"2) Highlight the range "&amp;ADDRESS(ROW(J63),COLUMN(J63),4)&amp;":"&amp;ADDRESS(ROW(N72),COLUMN(N72),4)</f>
        <v>2) Highlight the range J63:N72</v>
      </c>
      <c r="R67" s="200"/>
      <c r="S67" s="200"/>
      <c r="T67" s="200"/>
      <c r="U67" s="200"/>
      <c r="V67" s="555"/>
    </row>
    <row r="68" spans="1:22" ht="13.15" customHeight="1" x14ac:dyDescent="0.2">
      <c r="A68" s="237"/>
      <c r="B68" s="225"/>
      <c r="C68" s="238" t="s">
        <v>75</v>
      </c>
      <c r="D68" s="259"/>
      <c r="E68" s="238"/>
      <c r="F68" s="238"/>
      <c r="G68" s="343">
        <v>-523</v>
      </c>
      <c r="H68" s="225"/>
      <c r="I68" s="344" t="s">
        <v>76</v>
      </c>
      <c r="J68" s="273">
        <v>0.78</v>
      </c>
      <c r="K68" s="336">
        <v>33.696887360835284</v>
      </c>
      <c r="L68" s="337">
        <v>34.500181470543794</v>
      </c>
      <c r="M68" s="337">
        <v>35.318422253643227</v>
      </c>
      <c r="N68" s="338">
        <v>36.15182224584337</v>
      </c>
      <c r="O68" s="225"/>
      <c r="P68" s="225"/>
      <c r="Q68" s="554" t="s">
        <v>77</v>
      </c>
      <c r="R68" s="200"/>
      <c r="S68" s="200"/>
      <c r="T68" s="200"/>
      <c r="U68" s="200"/>
      <c r="V68" s="555"/>
    </row>
    <row r="69" spans="1:22" ht="13.15" customHeight="1" x14ac:dyDescent="0.2">
      <c r="A69" s="237"/>
      <c r="B69" s="225"/>
      <c r="C69" s="238" t="s">
        <v>78</v>
      </c>
      <c r="D69" s="259"/>
      <c r="E69" s="238"/>
      <c r="F69" s="238"/>
      <c r="G69" s="310">
        <v>48.1</v>
      </c>
      <c r="H69" s="225"/>
      <c r="I69" s="225"/>
      <c r="J69" s="329">
        <f>J68+$Q$63</f>
        <v>0.78300000000000003</v>
      </c>
      <c r="K69" s="336">
        <v>32.905421201592937</v>
      </c>
      <c r="L69" s="337">
        <v>33.691040505077687</v>
      </c>
      <c r="M69" s="337">
        <v>34.49127791486363</v>
      </c>
      <c r="N69" s="338">
        <v>35.306341296147359</v>
      </c>
      <c r="O69" s="225"/>
      <c r="P69" s="225"/>
      <c r="Q69" s="560" t="s">
        <v>104</v>
      </c>
      <c r="R69" s="200"/>
      <c r="S69" s="200"/>
      <c r="T69" s="200"/>
      <c r="U69" s="200"/>
      <c r="V69" s="555"/>
    </row>
    <row r="70" spans="1:22" ht="13.15" customHeight="1" x14ac:dyDescent="0.2">
      <c r="A70" s="237"/>
      <c r="B70" s="225"/>
      <c r="C70" s="340" t="s">
        <v>79</v>
      </c>
      <c r="D70" s="340"/>
      <c r="E70" s="341"/>
      <c r="F70" s="341"/>
      <c r="G70" s="342">
        <f>SUM(G67:G69)</f>
        <v>8528.7279242320201</v>
      </c>
      <c r="H70" s="225"/>
      <c r="I70" s="225"/>
      <c r="J70" s="329">
        <f>J69+$Q$63</f>
        <v>0.78600000000000003</v>
      </c>
      <c r="K70" s="336">
        <v>32.113955042350597</v>
      </c>
      <c r="L70" s="337">
        <v>32.881899539611638</v>
      </c>
      <c r="M70" s="337">
        <v>33.664133576083991</v>
      </c>
      <c r="N70" s="338">
        <v>34.460860346451376</v>
      </c>
      <c r="O70" s="225"/>
      <c r="P70" s="225"/>
      <c r="Q70" s="560" t="s">
        <v>80</v>
      </c>
      <c r="R70" s="200"/>
      <c r="S70" s="200"/>
      <c r="T70" s="200"/>
      <c r="U70" s="200"/>
      <c r="V70" s="555"/>
    </row>
    <row r="71" spans="1:22" ht="13.15" customHeight="1" x14ac:dyDescent="0.2">
      <c r="A71" s="237"/>
      <c r="B71" s="225"/>
      <c r="C71" s="225"/>
      <c r="D71" s="225"/>
      <c r="E71" s="225"/>
      <c r="F71" s="225"/>
      <c r="G71" s="225"/>
      <c r="H71" s="225"/>
      <c r="I71" s="225"/>
      <c r="J71" s="329">
        <f>J70+$Q$63</f>
        <v>0.78900000000000003</v>
      </c>
      <c r="K71" s="336">
        <v>31.322488883108257</v>
      </c>
      <c r="L71" s="337">
        <v>32.072758574145581</v>
      </c>
      <c r="M71" s="337">
        <v>32.836989237304358</v>
      </c>
      <c r="N71" s="338">
        <v>33.615379396755387</v>
      </c>
      <c r="O71" s="225"/>
      <c r="P71" s="225"/>
      <c r="Q71" s="560" t="s">
        <v>81</v>
      </c>
      <c r="R71" s="200"/>
      <c r="S71" s="200"/>
      <c r="T71" s="200"/>
      <c r="U71" s="200"/>
      <c r="V71" s="555"/>
    </row>
    <row r="72" spans="1:22" ht="13.15" customHeight="1" thickBot="1" x14ac:dyDescent="0.25">
      <c r="A72" s="237"/>
      <c r="B72" s="225"/>
      <c r="C72" s="225"/>
      <c r="D72" s="238"/>
      <c r="E72" s="238"/>
      <c r="F72" s="345" t="s">
        <v>82</v>
      </c>
      <c r="G72" s="346">
        <v>241.48099999999999</v>
      </c>
      <c r="H72" s="225"/>
      <c r="I72" s="225"/>
      <c r="J72" s="329">
        <f>J71+$Q$63</f>
        <v>0.79200000000000004</v>
      </c>
      <c r="K72" s="347">
        <v>30.531022723865917</v>
      </c>
      <c r="L72" s="348">
        <v>31.263617608679493</v>
      </c>
      <c r="M72" s="348">
        <v>32.009844898524769</v>
      </c>
      <c r="N72" s="349">
        <v>32.769898447059383</v>
      </c>
      <c r="O72" s="225"/>
      <c r="P72" s="225"/>
      <c r="Q72" s="554" t="str">
        <f>"4) Row input cell select "&amp;ADDRESS(ROW(J51),COLUMN(J51),4)&amp;". Column input cell select "&amp;ADDRESS(ROW(J52),COLUMN(J52),4)</f>
        <v>4) Row input cell select J51. Column input cell select J52</v>
      </c>
      <c r="R72" s="200"/>
      <c r="S72" s="200"/>
      <c r="T72" s="200"/>
      <c r="U72" s="200"/>
      <c r="V72" s="555"/>
    </row>
    <row r="73" spans="1:22" ht="13.15" customHeight="1" thickTop="1" x14ac:dyDescent="0.2">
      <c r="A73" s="237"/>
      <c r="B73" s="225"/>
      <c r="C73" s="225"/>
      <c r="D73" s="334"/>
      <c r="E73" s="242"/>
      <c r="F73" s="242"/>
      <c r="G73" s="242"/>
      <c r="H73" s="225"/>
      <c r="I73" s="225"/>
      <c r="J73" s="225"/>
      <c r="K73" s="225"/>
      <c r="L73" s="225"/>
      <c r="M73" s="225"/>
      <c r="N73" s="225"/>
      <c r="O73" s="225"/>
      <c r="P73" s="225"/>
      <c r="Q73" s="556" t="s">
        <v>83</v>
      </c>
      <c r="R73" s="200"/>
      <c r="S73" s="200"/>
      <c r="T73" s="200"/>
      <c r="U73" s="200"/>
      <c r="V73" s="555"/>
    </row>
    <row r="74" spans="1:22" ht="13.15" customHeight="1" thickBot="1" x14ac:dyDescent="0.25">
      <c r="A74" s="354" t="s">
        <v>23</v>
      </c>
      <c r="B74" s="354"/>
      <c r="C74" s="225"/>
      <c r="D74" s="350"/>
      <c r="E74" s="351"/>
      <c r="F74" s="352" t="s">
        <v>84</v>
      </c>
      <c r="G74" s="353">
        <f>G70 / G72</f>
        <v>35.318422253643227</v>
      </c>
      <c r="H74" s="225"/>
      <c r="I74" s="225"/>
      <c r="J74" s="225"/>
      <c r="K74" s="225"/>
      <c r="L74" s="225"/>
      <c r="M74" s="225"/>
      <c r="N74" s="225"/>
      <c r="O74" s="225"/>
      <c r="P74" s="225"/>
      <c r="Q74" s="561" t="s">
        <v>85</v>
      </c>
      <c r="R74" s="558"/>
      <c r="S74" s="558"/>
      <c r="T74" s="558"/>
      <c r="U74" s="558"/>
      <c r="V74" s="559"/>
    </row>
    <row r="75" spans="1:22" ht="13.15" customHeight="1" thickTop="1" x14ac:dyDescent="0.2">
      <c r="A75" s="354"/>
      <c r="B75" s="354"/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105"/>
      <c r="R75" s="105"/>
      <c r="S75" s="105"/>
      <c r="T75" s="105"/>
      <c r="U75" s="105"/>
      <c r="V75" s="105"/>
    </row>
    <row r="76" spans="1:22" s="105" customFormat="1" ht="13.15" customHeight="1" x14ac:dyDescent="0.2">
      <c r="A76" s="354"/>
      <c r="B76" s="354"/>
      <c r="C76" s="225"/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551" t="str">
        <f>"Adding Conditional Formatting"</f>
        <v>Adding Conditional Formatting</v>
      </c>
      <c r="R76" s="552"/>
      <c r="S76" s="552"/>
      <c r="T76" s="552"/>
      <c r="U76" s="552"/>
      <c r="V76" s="553"/>
    </row>
    <row r="77" spans="1:22" s="105" customFormat="1" ht="13.15" customHeight="1" x14ac:dyDescent="0.2">
      <c r="A77" s="354"/>
      <c r="B77" s="354"/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554" t="str">
        <f>"1) Highlight the range "&amp;ADDRESS(ROW(K64),COLUMN(K64),4)&amp;":"&amp;ADDRESS(ROW(N72),COLUMN(N72),4)</f>
        <v>1) Highlight the range K64:N72</v>
      </c>
      <c r="R77" s="200"/>
      <c r="S77" s="200"/>
      <c r="T77" s="200"/>
      <c r="U77" s="200"/>
      <c r="V77" s="555"/>
    </row>
    <row r="78" spans="1:22" s="105" customFormat="1" ht="13.15" customHeight="1" x14ac:dyDescent="0.2">
      <c r="A78" s="354"/>
      <c r="B78" s="354"/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556" t="s">
        <v>200</v>
      </c>
      <c r="R78" s="200"/>
      <c r="S78" s="200"/>
      <c r="T78" s="200"/>
      <c r="U78" s="200"/>
      <c r="V78" s="555"/>
    </row>
    <row r="79" spans="1:22" s="105" customFormat="1" ht="13.15" customHeight="1" x14ac:dyDescent="0.2">
      <c r="A79" s="354"/>
      <c r="B79" s="354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556" t="s">
        <v>202</v>
      </c>
      <c r="R79" s="200"/>
      <c r="S79" s="200"/>
      <c r="T79" s="200"/>
      <c r="U79" s="200"/>
      <c r="V79" s="555"/>
    </row>
    <row r="80" spans="1:22" s="105" customFormat="1" ht="13.15" customHeight="1" x14ac:dyDescent="0.2">
      <c r="A80" s="354"/>
      <c r="B80" s="354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557" t="s">
        <v>201</v>
      </c>
      <c r="R80" s="558"/>
      <c r="S80" s="558"/>
      <c r="T80" s="558"/>
      <c r="U80" s="558"/>
      <c r="V80" s="559"/>
    </row>
    <row r="81" spans="1:21" ht="13.15" customHeight="1" x14ac:dyDescent="0.2">
      <c r="A81" s="354"/>
      <c r="B81" s="354"/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</row>
    <row r="82" spans="1:21" ht="13.15" customHeight="1" x14ac:dyDescent="0.2">
      <c r="A82" s="354" t="s">
        <v>23</v>
      </c>
      <c r="B82" s="354" t="s">
        <v>86</v>
      </c>
      <c r="C82" s="225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</row>
    <row r="83" spans="1:21" ht="13.15" customHeight="1" x14ac:dyDescent="0.2">
      <c r="L83"/>
      <c r="M83"/>
      <c r="N83"/>
    </row>
  </sheetData>
  <protectedRanges>
    <protectedRange sqref="G61:G62" name="Range1"/>
    <protectedRange sqref="G65" name="Range1_1"/>
  </protectedRanges>
  <conditionalFormatting sqref="J63">
    <cfRule type="cellIs" dxfId="38" priority="18" stopIfTrue="1" operator="equal">
      <formula>0</formula>
    </cfRule>
  </conditionalFormatting>
  <conditionalFormatting sqref="G52:I52 H51:I51 G54:N54">
    <cfRule type="cellIs" dxfId="37" priority="19" stopIfTrue="1" operator="equal">
      <formula>0.000001</formula>
    </cfRule>
  </conditionalFormatting>
  <conditionalFormatting sqref="G31:N31">
    <cfRule type="cellIs" dxfId="36" priority="17" stopIfTrue="1" operator="equal">
      <formula>0.000001</formula>
    </cfRule>
  </conditionalFormatting>
  <conditionalFormatting sqref="G34:N34">
    <cfRule type="cellIs" dxfId="35" priority="16" stopIfTrue="1" operator="equal">
      <formula>0.000001</formula>
    </cfRule>
  </conditionalFormatting>
  <conditionalFormatting sqref="G37:N37">
    <cfRule type="cellIs" dxfId="34" priority="15" stopIfTrue="1" operator="equal">
      <formula>0.000001</formula>
    </cfRule>
  </conditionalFormatting>
  <conditionalFormatting sqref="G39:N39">
    <cfRule type="cellIs" dxfId="33" priority="14" stopIfTrue="1" operator="equal">
      <formula>0.000001</formula>
    </cfRule>
  </conditionalFormatting>
  <conditionalFormatting sqref="H45:N45">
    <cfRule type="cellIs" dxfId="32" priority="13" stopIfTrue="1" operator="equal">
      <formula>0.000001</formula>
    </cfRule>
  </conditionalFormatting>
  <conditionalFormatting sqref="J29:N29">
    <cfRule type="cellIs" dxfId="31" priority="12" stopIfTrue="1" operator="equal">
      <formula>0.000001</formula>
    </cfRule>
  </conditionalFormatting>
  <conditionalFormatting sqref="J30:N30">
    <cfRule type="cellIs" dxfId="30" priority="11" stopIfTrue="1" operator="equal">
      <formula>0.000001</formula>
    </cfRule>
  </conditionalFormatting>
  <conditionalFormatting sqref="J33:N33">
    <cfRule type="cellIs" dxfId="29" priority="10" stopIfTrue="1" operator="equal">
      <formula>0.000001</formula>
    </cfRule>
  </conditionalFormatting>
  <conditionalFormatting sqref="J35:N35">
    <cfRule type="cellIs" dxfId="28" priority="9" stopIfTrue="1" operator="equal">
      <formula>0.000001</formula>
    </cfRule>
  </conditionalFormatting>
  <conditionalFormatting sqref="J36:N36">
    <cfRule type="cellIs" dxfId="27" priority="8" stopIfTrue="1" operator="equal">
      <formula>0.000001</formula>
    </cfRule>
  </conditionalFormatting>
  <conditionalFormatting sqref="P29 P31 P34 P37 P39 P45">
    <cfRule type="cellIs" dxfId="26" priority="7" stopIfTrue="1" operator="equal">
      <formula>0.000001</formula>
    </cfRule>
  </conditionalFormatting>
  <conditionalFormatting sqref="K52:N52">
    <cfRule type="cellIs" dxfId="25" priority="6" stopIfTrue="1" operator="equal">
      <formula>+$J$52</formula>
    </cfRule>
  </conditionalFormatting>
  <conditionalFormatting sqref="K58:N58">
    <cfRule type="cellIs" dxfId="24" priority="5" stopIfTrue="1" operator="equal">
      <formula>$J$58</formula>
    </cfRule>
  </conditionalFormatting>
  <conditionalFormatting sqref="K56:N56">
    <cfRule type="cellIs" dxfId="23" priority="4" stopIfTrue="1" operator="equal">
      <formula>+$J$52</formula>
    </cfRule>
  </conditionalFormatting>
  <conditionalFormatting sqref="G64:G67">
    <cfRule type="cellIs" dxfId="22" priority="3" stopIfTrue="1" operator="equal">
      <formula>0.000001</formula>
    </cfRule>
  </conditionalFormatting>
  <conditionalFormatting sqref="G70">
    <cfRule type="cellIs" dxfId="21" priority="2" stopIfTrue="1" operator="equal">
      <formula>0.000001</formula>
    </cfRule>
  </conditionalFormatting>
  <conditionalFormatting sqref="G74">
    <cfRule type="cellIs" dxfId="20" priority="1" stopIfTrue="1" operator="equal">
      <formula>0.000001</formula>
    </cfRule>
  </conditionalFormatting>
  <pageMargins left="0.75" right="0.75" top="0.65" bottom="0.65" header="0.5" footer="0.25"/>
  <pageSetup scale="77" orientation="landscape" r:id="rId1"/>
  <headerFooter alignWithMargins="0">
    <oddFooter>&amp;C&amp;8&amp;G&amp;R&amp;8For training purposes only!&amp;L&amp;8COPYRIGHT 2016 © by Training The Street, Inc</oddFooter>
  </headerFooter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>
    <pageSetUpPr fitToPage="1"/>
  </sheetPr>
  <dimension ref="A1:Z82"/>
  <sheetViews>
    <sheetView tabSelected="1" zoomScaleNormal="100" workbookViewId="0">
      <pane ySplit="21" topLeftCell="A34" activePane="bottomLeft" state="frozen"/>
      <selection activeCell="A76" sqref="A76"/>
      <selection pane="bottomLeft" activeCell="A22" sqref="A22"/>
    </sheetView>
  </sheetViews>
  <sheetFormatPr defaultColWidth="10" defaultRowHeight="13.15" customHeight="1" outlineLevelRow="1" x14ac:dyDescent="0.2"/>
  <cols>
    <col min="1" max="1" width="3" style="214" customWidth="1"/>
    <col min="2" max="3" width="1.7109375" style="105" customWidth="1"/>
    <col min="4" max="14" width="10" style="105" customWidth="1"/>
    <col min="15" max="15" width="1.7109375" style="105" customWidth="1"/>
    <col min="16" max="16" width="10" style="105"/>
    <col min="17" max="17" width="10.85546875" style="105" bestFit="1" customWidth="1"/>
    <col min="18" max="19" width="10" style="105"/>
    <col min="20" max="20" width="13.42578125" style="105" bestFit="1" customWidth="1"/>
    <col min="21" max="16384" width="10" style="105"/>
  </cols>
  <sheetData>
    <row r="1" spans="1:18" ht="12.75" customHeight="1" outlineLevel="1" x14ac:dyDescent="0.2">
      <c r="A1" s="387"/>
      <c r="B1" s="404" t="str">
        <f ca="1">MID(CELL("filename",B1),FIND("]",CELL("filename",B1))+1,31)</f>
        <v>DCF Template</v>
      </c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6"/>
      <c r="Q1" s="395"/>
      <c r="R1" s="387"/>
    </row>
    <row r="2" spans="1:18" ht="12.75" customHeight="1" outlineLevel="1" x14ac:dyDescent="0.25">
      <c r="A2" s="387"/>
      <c r="B2" s="407"/>
      <c r="C2" s="401"/>
      <c r="D2" s="401"/>
      <c r="E2" s="401"/>
      <c r="F2" s="401"/>
      <c r="G2" s="401"/>
      <c r="H2" s="401"/>
      <c r="I2" s="401"/>
      <c r="J2" s="401"/>
      <c r="K2" s="400"/>
      <c r="L2" s="401"/>
      <c r="M2" s="401"/>
      <c r="N2" s="401"/>
      <c r="O2" s="401"/>
      <c r="P2" s="408"/>
      <c r="Q2" s="395"/>
      <c r="R2" s="387"/>
    </row>
    <row r="3" spans="1:18" ht="12.75" customHeight="1" outlineLevel="1" x14ac:dyDescent="0.2">
      <c r="A3" s="387"/>
      <c r="B3" s="409"/>
      <c r="C3" s="402"/>
      <c r="D3" s="471">
        <v>1</v>
      </c>
      <c r="E3" s="356" t="str">
        <f>MID('Steps 1-2'!C3,9,100)</f>
        <v>Input the Unlevered Free Cash Flow line items</v>
      </c>
      <c r="F3" s="403"/>
      <c r="G3" s="401"/>
      <c r="H3" s="401"/>
      <c r="I3" s="401"/>
      <c r="J3" s="427"/>
      <c r="K3" s="472" t="s">
        <v>141</v>
      </c>
      <c r="L3" s="428"/>
      <c r="M3" s="401"/>
      <c r="N3" s="401"/>
      <c r="O3" s="401"/>
      <c r="P3" s="430"/>
      <c r="Q3" s="395"/>
      <c r="R3" s="387"/>
    </row>
    <row r="4" spans="1:18" ht="12.75" customHeight="1" outlineLevel="1" x14ac:dyDescent="0.2">
      <c r="A4" s="387"/>
      <c r="B4" s="410"/>
      <c r="C4" s="401"/>
      <c r="D4" s="471">
        <f>D3+1</f>
        <v>2</v>
      </c>
      <c r="E4" s="429" t="str">
        <f>MID('Steps 1-2'!C8,9,100)</f>
        <v>Calculate the historical ratios and growth rates</v>
      </c>
      <c r="F4" s="401"/>
      <c r="G4" s="401"/>
      <c r="H4" s="401"/>
      <c r="I4" s="401"/>
      <c r="J4" s="428"/>
      <c r="K4" s="356" t="s">
        <v>142</v>
      </c>
      <c r="L4" s="356"/>
      <c r="M4" s="401"/>
      <c r="N4" s="401"/>
      <c r="O4" s="401"/>
      <c r="P4" s="408"/>
      <c r="Q4" s="395"/>
      <c r="R4" s="387"/>
    </row>
    <row r="5" spans="1:18" ht="12.75" customHeight="1" outlineLevel="1" x14ac:dyDescent="0.25">
      <c r="A5" s="387"/>
      <c r="B5" s="407"/>
      <c r="C5" s="401"/>
      <c r="D5" s="471">
        <f t="shared" ref="D5:D19" si="0">D4+1</f>
        <v>3</v>
      </c>
      <c r="E5" s="428" t="str">
        <f>MID('Steps 3-6'!C3,9,100)</f>
        <v>Forecast net sales for the projected years</v>
      </c>
      <c r="F5" s="401"/>
      <c r="G5" s="401"/>
      <c r="H5" s="401"/>
      <c r="I5" s="401"/>
      <c r="J5" s="446"/>
      <c r="K5" s="356" t="s">
        <v>143</v>
      </c>
      <c r="L5" s="429"/>
      <c r="M5" s="466" t="s">
        <v>198</v>
      </c>
      <c r="N5" s="401"/>
      <c r="O5" s="401"/>
      <c r="P5" s="408"/>
      <c r="Q5" s="395"/>
      <c r="R5" s="387"/>
    </row>
    <row r="6" spans="1:18" ht="12.75" customHeight="1" outlineLevel="1" x14ac:dyDescent="0.25">
      <c r="A6" s="387"/>
      <c r="B6" s="407"/>
      <c r="C6" s="401"/>
      <c r="D6" s="471">
        <f t="shared" si="0"/>
        <v>4</v>
      </c>
      <c r="E6" s="398" t="str">
        <f>MID('Steps 3-6'!C9,9,100)</f>
        <v>Project future operating expenses</v>
      </c>
      <c r="F6" s="401"/>
      <c r="G6" s="401"/>
      <c r="H6" s="401"/>
      <c r="I6" s="401"/>
      <c r="J6" s="401"/>
      <c r="K6" s="446"/>
      <c r="L6" s="429"/>
      <c r="M6" s="401"/>
      <c r="N6" s="401"/>
      <c r="O6" s="401"/>
      <c r="P6" s="408"/>
      <c r="Q6" s="395"/>
      <c r="R6" s="387"/>
    </row>
    <row r="7" spans="1:18" ht="12.75" customHeight="1" outlineLevel="1" x14ac:dyDescent="0.25">
      <c r="A7" s="387"/>
      <c r="B7" s="407"/>
      <c r="C7" s="401"/>
      <c r="D7" s="471">
        <f t="shared" si="0"/>
        <v>5</v>
      </c>
      <c r="E7" s="429" t="str">
        <f>MID('Steps 3-6'!J3,9,100)</f>
        <v>Add ''steps'' to your assumptions</v>
      </c>
      <c r="F7" s="401"/>
      <c r="G7" s="401"/>
      <c r="H7" s="401"/>
      <c r="I7" s="401"/>
      <c r="J7" s="427"/>
      <c r="K7" s="473" t="s">
        <v>144</v>
      </c>
      <c r="L7" s="401"/>
      <c r="M7" s="401"/>
      <c r="N7" s="401"/>
      <c r="O7" s="401"/>
      <c r="P7" s="408"/>
      <c r="Q7" s="395"/>
      <c r="R7" s="387"/>
    </row>
    <row r="8" spans="1:18" ht="12.75" customHeight="1" outlineLevel="1" x14ac:dyDescent="0.25">
      <c r="A8" s="387"/>
      <c r="B8" s="407"/>
      <c r="C8" s="401"/>
      <c r="D8" s="471">
        <f t="shared" si="0"/>
        <v>6</v>
      </c>
      <c r="E8" s="429" t="str">
        <f>MID('Steps 3-6'!J9,9,100)</f>
        <v>Calculate totals</v>
      </c>
      <c r="F8" s="401"/>
      <c r="G8" s="401"/>
      <c r="H8" s="401"/>
      <c r="I8" s="401"/>
      <c r="J8" s="428"/>
      <c r="K8" s="547"/>
      <c r="L8" s="547" t="s">
        <v>197</v>
      </c>
      <c r="M8" s="466" t="s">
        <v>195</v>
      </c>
      <c r="N8" s="401"/>
      <c r="O8" s="401"/>
      <c r="P8" s="408"/>
      <c r="Q8" s="395"/>
      <c r="R8" s="387"/>
    </row>
    <row r="9" spans="1:18" ht="12.75" customHeight="1" outlineLevel="1" x14ac:dyDescent="0.25">
      <c r="A9" s="387"/>
      <c r="B9" s="407"/>
      <c r="C9" s="401"/>
      <c r="D9" s="471">
        <f t="shared" si="0"/>
        <v>7</v>
      </c>
      <c r="E9" s="356" t="str">
        <f>MID('Steps 7-10'!C3,9,100)</f>
        <v>Project Capital Expenditures &amp; Depreciation</v>
      </c>
      <c r="F9" s="401"/>
      <c r="G9" s="401"/>
      <c r="H9" s="401"/>
      <c r="I9" s="401"/>
      <c r="J9" s="428"/>
      <c r="K9" s="398"/>
      <c r="L9" s="398"/>
      <c r="M9" s="548" t="s">
        <v>190</v>
      </c>
      <c r="N9" s="548" t="s">
        <v>196</v>
      </c>
      <c r="O9" s="401"/>
      <c r="P9" s="408"/>
      <c r="Q9" s="395"/>
      <c r="R9" s="387"/>
    </row>
    <row r="10" spans="1:18" ht="12.75" customHeight="1" outlineLevel="1" x14ac:dyDescent="0.25">
      <c r="A10" s="387"/>
      <c r="B10" s="407"/>
      <c r="C10" s="401"/>
      <c r="D10" s="471">
        <f t="shared" si="0"/>
        <v>8</v>
      </c>
      <c r="E10" s="356" t="str">
        <f>MID('Steps 7-10'!C13,9,100)</f>
        <v>Project Additions to Intangibles &amp; Amortization</v>
      </c>
      <c r="F10" s="401"/>
      <c r="G10" s="401"/>
      <c r="H10" s="401"/>
      <c r="I10" s="401"/>
      <c r="J10" s="428"/>
      <c r="K10" s="473" t="s">
        <v>147</v>
      </c>
      <c r="L10" s="401"/>
      <c r="M10" s="401"/>
      <c r="N10" s="401"/>
      <c r="O10" s="401"/>
      <c r="P10" s="408"/>
      <c r="Q10" s="395"/>
      <c r="R10" s="387"/>
    </row>
    <row r="11" spans="1:18" ht="12.75" customHeight="1" outlineLevel="1" x14ac:dyDescent="0.25">
      <c r="A11" s="387"/>
      <c r="B11" s="407"/>
      <c r="C11" s="401"/>
      <c r="D11" s="471">
        <f t="shared" si="0"/>
        <v>9</v>
      </c>
      <c r="E11" s="429" t="str">
        <f>MID('Steps 7-10'!J3,9,100)</f>
        <v>Project future working capital requirements</v>
      </c>
      <c r="F11" s="401"/>
      <c r="G11" s="401"/>
      <c r="H11" s="401"/>
      <c r="I11" s="401"/>
      <c r="J11" s="356"/>
      <c r="K11" s="356" t="s">
        <v>145</v>
      </c>
      <c r="L11" s="401"/>
      <c r="M11" s="401"/>
      <c r="N11" s="401"/>
      <c r="O11" s="401"/>
      <c r="P11" s="408"/>
      <c r="Q11" s="395"/>
      <c r="R11" s="387"/>
    </row>
    <row r="12" spans="1:18" ht="12.75" customHeight="1" outlineLevel="1" x14ac:dyDescent="0.25">
      <c r="A12" s="387"/>
      <c r="B12" s="407"/>
      <c r="C12" s="402"/>
      <c r="D12" s="471">
        <f t="shared" si="0"/>
        <v>10</v>
      </c>
      <c r="E12" s="401" t="str">
        <f>MID('Steps 7-10'!J7,10,100)</f>
        <v>Calculate Unlevered Free Cash Flow</v>
      </c>
      <c r="F12" s="401"/>
      <c r="G12" s="401"/>
      <c r="H12" s="401"/>
      <c r="I12" s="401"/>
      <c r="J12" s="356"/>
      <c r="K12" s="356" t="s">
        <v>143</v>
      </c>
      <c r="L12" s="401"/>
      <c r="M12" s="466" t="s">
        <v>192</v>
      </c>
      <c r="N12" s="401"/>
      <c r="O12" s="401"/>
      <c r="P12" s="408"/>
      <c r="Q12" s="395"/>
      <c r="R12" s="387"/>
    </row>
    <row r="13" spans="1:18" ht="12.75" customHeight="1" outlineLevel="1" x14ac:dyDescent="0.25">
      <c r="A13" s="387"/>
      <c r="B13" s="407"/>
      <c r="C13" s="428"/>
      <c r="D13" s="471">
        <f t="shared" si="0"/>
        <v>11</v>
      </c>
      <c r="E13" s="429" t="str">
        <f>MID('Steps 11-17'!C3,10,100)</f>
        <v>Calculate the net present value of the unlevered free cash flow</v>
      </c>
      <c r="F13" s="401"/>
      <c r="G13" s="401"/>
      <c r="H13" s="401"/>
      <c r="I13" s="401"/>
      <c r="J13" s="446"/>
      <c r="K13" s="429"/>
      <c r="L13" s="401"/>
      <c r="M13" s="466" t="s">
        <v>191</v>
      </c>
      <c r="N13" s="401"/>
      <c r="O13" s="401"/>
      <c r="P13" s="408"/>
      <c r="Q13" s="395"/>
      <c r="R13" s="387"/>
    </row>
    <row r="14" spans="1:18" ht="12.75" customHeight="1" outlineLevel="1" x14ac:dyDescent="0.25">
      <c r="A14" s="387"/>
      <c r="B14" s="407"/>
      <c r="C14" s="401"/>
      <c r="D14" s="471">
        <f t="shared" si="0"/>
        <v>12</v>
      </c>
      <c r="E14" s="401" t="str">
        <f>MID('Steps 11-17'!C12,10,100)</f>
        <v>Calculate the terminal value</v>
      </c>
      <c r="F14" s="401"/>
      <c r="G14" s="466"/>
      <c r="H14" s="401"/>
      <c r="I14" s="401"/>
      <c r="J14" s="446"/>
      <c r="K14" s="356" t="s">
        <v>146</v>
      </c>
      <c r="L14" s="428"/>
      <c r="M14" s="428"/>
      <c r="N14" s="428"/>
      <c r="O14" s="428"/>
      <c r="P14" s="408"/>
      <c r="Q14" s="395"/>
      <c r="R14" s="387"/>
    </row>
    <row r="15" spans="1:18" ht="12.75" customHeight="1" outlineLevel="1" x14ac:dyDescent="0.25">
      <c r="A15" s="387"/>
      <c r="B15" s="407"/>
      <c r="C15" s="428"/>
      <c r="D15" s="471">
        <f t="shared" si="0"/>
        <v>13</v>
      </c>
      <c r="E15" s="428" t="str">
        <f>MID('Steps 11-17'!K3,10,100)</f>
        <v>Calculate the present value of terminal value</v>
      </c>
      <c r="F15" s="401"/>
      <c r="G15" s="466"/>
      <c r="H15" s="401"/>
      <c r="I15" s="401"/>
      <c r="J15" s="446"/>
      <c r="K15" s="446"/>
      <c r="L15" s="446"/>
      <c r="M15" s="446"/>
      <c r="N15" s="446"/>
      <c r="O15" s="446"/>
      <c r="P15" s="408"/>
      <c r="Q15" s="395"/>
      <c r="R15" s="387"/>
    </row>
    <row r="16" spans="1:18" ht="12.75" customHeight="1" outlineLevel="1" x14ac:dyDescent="0.25">
      <c r="A16" s="387"/>
      <c r="B16" s="407"/>
      <c r="C16" s="446"/>
      <c r="D16" s="471">
        <f t="shared" si="0"/>
        <v>14</v>
      </c>
      <c r="E16" s="356" t="str">
        <f>MID('Steps 11-17'!K7,10,100)</f>
        <v>Calculate the Enterprise Value</v>
      </c>
      <c r="F16" s="401"/>
      <c r="G16" s="466"/>
      <c r="H16" s="401"/>
      <c r="I16" s="401"/>
      <c r="J16" s="428"/>
      <c r="K16" s="473" t="s">
        <v>148</v>
      </c>
      <c r="L16" s="446"/>
      <c r="M16" s="446"/>
      <c r="N16" s="446"/>
      <c r="O16" s="446"/>
      <c r="P16" s="408"/>
      <c r="Q16" s="395"/>
      <c r="R16" s="387"/>
    </row>
    <row r="17" spans="1:25" ht="12.75" customHeight="1" outlineLevel="1" x14ac:dyDescent="0.25">
      <c r="A17" s="387"/>
      <c r="B17" s="407"/>
      <c r="C17" s="447"/>
      <c r="D17" s="471">
        <f t="shared" si="0"/>
        <v>15</v>
      </c>
      <c r="E17" s="401" t="str">
        <f>MID('Steps 11-17'!K10,10,100)</f>
        <v>Calculate the Equity Value</v>
      </c>
      <c r="F17" s="401"/>
      <c r="G17" s="401"/>
      <c r="H17" s="401"/>
      <c r="I17" s="401"/>
      <c r="J17" s="446"/>
      <c r="K17" s="446" t="s">
        <v>149</v>
      </c>
      <c r="L17" s="446"/>
      <c r="M17" s="446"/>
      <c r="N17" s="446"/>
      <c r="O17" s="446"/>
      <c r="P17" s="408"/>
      <c r="Q17" s="395"/>
      <c r="R17" s="387"/>
    </row>
    <row r="18" spans="1:25" ht="12.75" customHeight="1" outlineLevel="1" x14ac:dyDescent="0.25">
      <c r="A18" s="387"/>
      <c r="B18" s="407"/>
      <c r="C18" s="445"/>
      <c r="D18" s="471">
        <f t="shared" si="0"/>
        <v>16</v>
      </c>
      <c r="E18" s="401" t="str">
        <f>MID('Steps 11-17'!K14,10,100)</f>
        <v>Calculate the Equity Value per share</v>
      </c>
      <c r="F18" s="401"/>
      <c r="G18" s="401"/>
      <c r="H18" s="401"/>
      <c r="I18" s="401"/>
      <c r="J18" s="446"/>
      <c r="K18" s="446"/>
      <c r="L18" s="446"/>
      <c r="M18" s="446"/>
      <c r="N18" s="446"/>
      <c r="O18" s="446"/>
      <c r="P18" s="408"/>
      <c r="Q18" s="395"/>
      <c r="R18" s="387"/>
    </row>
    <row r="19" spans="1:25" ht="12.75" customHeight="1" outlineLevel="1" x14ac:dyDescent="0.25">
      <c r="A19" s="387"/>
      <c r="B19" s="407"/>
      <c r="C19" s="445"/>
      <c r="D19" s="471">
        <f t="shared" si="0"/>
        <v>17</v>
      </c>
      <c r="E19" s="401" t="str">
        <f>MID('Steps 11-17'!K17,10,100)</f>
        <v>Sensitize the equity value per share</v>
      </c>
      <c r="F19" s="401"/>
      <c r="G19" s="401"/>
      <c r="H19" s="401"/>
      <c r="I19" s="401"/>
      <c r="J19" s="446"/>
      <c r="K19" s="473" t="str">
        <f>MID('Steps 11-17'!K12,FIND("-",'Steps 11-17'!K12)+2,100)</f>
        <v>Equity Value = Enterprise Value + "Net Debt"</v>
      </c>
      <c r="L19" s="446"/>
      <c r="M19" s="446"/>
      <c r="N19" s="446"/>
      <c r="O19" s="446"/>
      <c r="P19" s="408"/>
      <c r="Q19" s="395"/>
      <c r="R19" s="387"/>
    </row>
    <row r="20" spans="1:25" ht="12.75" customHeight="1" outlineLevel="1" x14ac:dyDescent="0.25">
      <c r="A20" s="387"/>
      <c r="B20" s="411"/>
      <c r="C20" s="412"/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3"/>
      <c r="Q20" s="395"/>
      <c r="R20" s="225"/>
      <c r="S20" s="225"/>
      <c r="T20" s="225"/>
      <c r="U20" s="225"/>
    </row>
    <row r="21" spans="1:25" s="394" customFormat="1" ht="12.75" customHeight="1" x14ac:dyDescent="0.2">
      <c r="A21" s="392"/>
      <c r="B21" s="393"/>
      <c r="C21" s="393"/>
      <c r="D21" s="393"/>
      <c r="E21" s="393"/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</row>
    <row r="22" spans="1:25" s="116" customFormat="1" ht="18.75" thickBot="1" x14ac:dyDescent="0.3">
      <c r="A22" s="112"/>
      <c r="B22" s="239" t="str">
        <f>"Discounted Cash Flow Analysis for "&amp;T25</f>
        <v>Discounted Cash Flow Analysis for Sample Company</v>
      </c>
      <c r="C22" s="114"/>
      <c r="D22" s="115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</row>
    <row r="23" spans="1:25" s="116" customFormat="1" ht="13.15" customHeight="1" x14ac:dyDescent="0.2">
      <c r="A23" s="112"/>
      <c r="B23" s="243" t="str">
        <f>T31</f>
        <v>Dollars in millions, except per share</v>
      </c>
      <c r="C23" s="117"/>
      <c r="D23" s="118"/>
      <c r="E23" s="119"/>
      <c r="F23" s="119"/>
      <c r="G23" s="119"/>
      <c r="H23" s="119"/>
      <c r="I23" s="119"/>
      <c r="J23" s="119"/>
      <c r="K23" s="119"/>
      <c r="L23" s="119"/>
      <c r="M23" s="120"/>
      <c r="N23" s="119"/>
      <c r="O23" s="119"/>
      <c r="P23" s="119"/>
      <c r="S23" s="103"/>
      <c r="T23" s="104"/>
      <c r="U23" s="104"/>
      <c r="V23" s="104"/>
      <c r="W23" s="104"/>
      <c r="X23" s="104"/>
      <c r="Y23" s="382"/>
    </row>
    <row r="24" spans="1:25" s="116" customFormat="1" ht="12.75" customHeight="1" x14ac:dyDescent="0.2">
      <c r="A24" s="112"/>
      <c r="B24" s="121"/>
      <c r="C24" s="122"/>
      <c r="D24" s="123"/>
      <c r="E24" s="114"/>
      <c r="F24" s="114"/>
      <c r="G24" s="114"/>
      <c r="H24" s="114"/>
      <c r="I24" s="114"/>
      <c r="J24" s="114"/>
      <c r="K24" s="114"/>
      <c r="L24" s="114"/>
      <c r="N24" s="114"/>
      <c r="S24" s="106"/>
      <c r="T24" s="502" t="s">
        <v>24</v>
      </c>
      <c r="U24" s="107"/>
      <c r="V24" s="107"/>
      <c r="W24" s="107"/>
      <c r="X24" s="107"/>
      <c r="Y24" s="383"/>
    </row>
    <row r="25" spans="1:25" s="116" customFormat="1" ht="12.75" customHeight="1" x14ac:dyDescent="0.2">
      <c r="A25" s="112"/>
      <c r="B25" s="121"/>
      <c r="C25" s="122"/>
      <c r="D25" s="123"/>
      <c r="E25" s="114"/>
      <c r="F25" s="114"/>
      <c r="P25" s="124" t="str">
        <f>I27&amp;" - "&amp;N27</f>
        <v>2015 - 2020</v>
      </c>
      <c r="S25" s="106"/>
      <c r="T25" s="108" t="s">
        <v>26</v>
      </c>
      <c r="U25" s="109"/>
      <c r="V25" s="109"/>
      <c r="W25" s="109"/>
      <c r="X25" s="110"/>
      <c r="Y25" s="383"/>
    </row>
    <row r="26" spans="1:25" s="113" customFormat="1" ht="12.75" customHeight="1" x14ac:dyDescent="0.2">
      <c r="A26" s="112"/>
      <c r="G26" s="125" t="s">
        <v>28</v>
      </c>
      <c r="H26" s="126"/>
      <c r="I26" s="127"/>
      <c r="J26" s="125" t="s">
        <v>29</v>
      </c>
      <c r="K26" s="128"/>
      <c r="L26" s="128"/>
      <c r="M26" s="128"/>
      <c r="N26" s="129"/>
      <c r="P26" s="130" t="s">
        <v>30</v>
      </c>
      <c r="S26" s="106"/>
      <c r="T26" s="107"/>
      <c r="U26" s="107"/>
      <c r="V26" s="107"/>
      <c r="W26" s="107"/>
      <c r="X26" s="107"/>
      <c r="Y26" s="383"/>
    </row>
    <row r="27" spans="1:25" s="113" customFormat="1" ht="12.75" customHeight="1" x14ac:dyDescent="0.2">
      <c r="A27" s="112"/>
      <c r="G27" s="379">
        <f>H27-1</f>
        <v>2013</v>
      </c>
      <c r="H27" s="379">
        <f>I27-1</f>
        <v>2014</v>
      </c>
      <c r="I27" s="380">
        <f>YEAR(T28)</f>
        <v>2015</v>
      </c>
      <c r="J27" s="379">
        <f t="shared" ref="J27:N27" si="1">I27+1</f>
        <v>2016</v>
      </c>
      <c r="K27" s="379">
        <f t="shared" si="1"/>
        <v>2017</v>
      </c>
      <c r="L27" s="379">
        <f t="shared" si="1"/>
        <v>2018</v>
      </c>
      <c r="M27" s="379">
        <f t="shared" si="1"/>
        <v>2019</v>
      </c>
      <c r="N27" s="379">
        <f t="shared" si="1"/>
        <v>2020</v>
      </c>
      <c r="S27" s="106"/>
      <c r="T27" s="502" t="s">
        <v>177</v>
      </c>
      <c r="U27" s="107"/>
      <c r="V27" s="107"/>
      <c r="W27" s="107"/>
      <c r="X27" s="107"/>
      <c r="Y27" s="383"/>
    </row>
    <row r="28" spans="1:25" s="113" customFormat="1" ht="12.75" customHeight="1" x14ac:dyDescent="0.2">
      <c r="A28" s="112"/>
      <c r="I28" s="95"/>
      <c r="P28" s="116"/>
      <c r="S28" s="106"/>
      <c r="T28" s="384">
        <v>42369</v>
      </c>
      <c r="U28" s="385"/>
      <c r="V28" s="107"/>
      <c r="W28" s="107"/>
      <c r="X28" s="107"/>
      <c r="Y28" s="383"/>
    </row>
    <row r="29" spans="1:25" s="113" customFormat="1" ht="13.15" customHeight="1" x14ac:dyDescent="0.2">
      <c r="A29" s="354" t="s">
        <v>23</v>
      </c>
      <c r="B29" s="131" t="s">
        <v>31</v>
      </c>
      <c r="C29" s="131"/>
      <c r="D29" s="131"/>
      <c r="G29" s="132">
        <v>0</v>
      </c>
      <c r="H29" s="132">
        <v>0</v>
      </c>
      <c r="I29" s="96">
        <v>0</v>
      </c>
      <c r="J29" s="262">
        <f t="shared" ref="J29:N29" si="2">I29*(1+J51)</f>
        <v>0</v>
      </c>
      <c r="K29" s="262">
        <f t="shared" si="2"/>
        <v>0</v>
      </c>
      <c r="L29" s="262">
        <f t="shared" si="2"/>
        <v>0</v>
      </c>
      <c r="M29" s="262">
        <f t="shared" si="2"/>
        <v>0</v>
      </c>
      <c r="N29" s="262">
        <f t="shared" si="2"/>
        <v>0</v>
      </c>
      <c r="O29" s="242"/>
      <c r="P29" s="498" t="str">
        <f>IF(I29=0,"",RATE($N$27-$I$27,0,I29,-N29))</f>
        <v/>
      </c>
      <c r="Q29" s="116"/>
      <c r="S29" s="106"/>
      <c r="T29" s="107"/>
      <c r="U29" s="107"/>
      <c r="V29" s="107"/>
      <c r="W29" s="107"/>
      <c r="X29" s="107"/>
      <c r="Y29" s="383"/>
    </row>
    <row r="30" spans="1:25" s="113" customFormat="1" ht="13.15" customHeight="1" x14ac:dyDescent="0.2">
      <c r="A30" s="112"/>
      <c r="B30" s="131" t="s">
        <v>32</v>
      </c>
      <c r="C30" s="131"/>
      <c r="D30" s="131"/>
      <c r="G30" s="135">
        <v>0</v>
      </c>
      <c r="H30" s="135">
        <v>0</v>
      </c>
      <c r="I30" s="550">
        <v>0</v>
      </c>
      <c r="J30" s="266">
        <f t="shared" ref="J30:N30" si="3">J29*J52</f>
        <v>0</v>
      </c>
      <c r="K30" s="266">
        <f t="shared" si="3"/>
        <v>0</v>
      </c>
      <c r="L30" s="266">
        <f t="shared" si="3"/>
        <v>0</v>
      </c>
      <c r="M30" s="266">
        <f t="shared" si="3"/>
        <v>0</v>
      </c>
      <c r="N30" s="266">
        <f t="shared" si="3"/>
        <v>0</v>
      </c>
      <c r="O30" s="242"/>
      <c r="P30" s="499"/>
      <c r="Q30" s="116"/>
      <c r="S30" s="106"/>
      <c r="T30" s="502" t="s">
        <v>25</v>
      </c>
      <c r="U30" s="107"/>
      <c r="V30" s="107"/>
      <c r="W30" s="107"/>
      <c r="X30" s="107"/>
      <c r="Y30" s="383"/>
    </row>
    <row r="31" spans="1:25" s="113" customFormat="1" ht="13.15" customHeight="1" x14ac:dyDescent="0.2">
      <c r="A31" s="112"/>
      <c r="B31" s="131" t="s">
        <v>33</v>
      </c>
      <c r="D31" s="131"/>
      <c r="G31" s="268">
        <f t="shared" ref="G31:I31" si="4">G29-G30</f>
        <v>0</v>
      </c>
      <c r="H31" s="268">
        <f t="shared" si="4"/>
        <v>0</v>
      </c>
      <c r="I31" s="269">
        <f t="shared" si="4"/>
        <v>0</v>
      </c>
      <c r="J31" s="268">
        <f t="shared" ref="J31:N31" si="5">J29-J30</f>
        <v>0</v>
      </c>
      <c r="K31" s="268">
        <f t="shared" si="5"/>
        <v>0</v>
      </c>
      <c r="L31" s="268">
        <f t="shared" si="5"/>
        <v>0</v>
      </c>
      <c r="M31" s="268">
        <f t="shared" si="5"/>
        <v>0</v>
      </c>
      <c r="N31" s="268">
        <f t="shared" si="5"/>
        <v>0</v>
      </c>
      <c r="O31" s="242"/>
      <c r="P31" s="498" t="str">
        <f>IF(I31=0,"",RATE($N$27-$I$27,0,I31,-N31))</f>
        <v/>
      </c>
      <c r="Q31" s="116"/>
      <c r="S31" s="106"/>
      <c r="T31" s="108" t="s">
        <v>27</v>
      </c>
      <c r="U31" s="109"/>
      <c r="V31" s="109"/>
      <c r="W31" s="109"/>
      <c r="X31" s="110"/>
      <c r="Y31" s="383"/>
    </row>
    <row r="32" spans="1:25" s="113" customFormat="1" ht="6.4" customHeight="1" x14ac:dyDescent="0.2">
      <c r="A32" s="112"/>
      <c r="G32" s="270"/>
      <c r="H32" s="270"/>
      <c r="I32" s="271"/>
      <c r="J32" s="266"/>
      <c r="K32" s="266"/>
      <c r="L32" s="266"/>
      <c r="M32" s="266"/>
      <c r="N32" s="266"/>
      <c r="O32" s="242"/>
      <c r="P32" s="499"/>
      <c r="Q32" s="116"/>
      <c r="S32" s="106"/>
      <c r="T32" s="107"/>
      <c r="U32" s="107"/>
      <c r="V32" s="107"/>
      <c r="W32" s="107"/>
      <c r="X32" s="107"/>
      <c r="Y32" s="383"/>
    </row>
    <row r="33" spans="1:26" s="113" customFormat="1" ht="13.15" customHeight="1" x14ac:dyDescent="0.2">
      <c r="A33" s="112"/>
      <c r="B33" s="131" t="s">
        <v>34</v>
      </c>
      <c r="C33" s="131"/>
      <c r="D33" s="131"/>
      <c r="G33" s="264">
        <v>0</v>
      </c>
      <c r="H33" s="264">
        <v>0</v>
      </c>
      <c r="I33" s="265">
        <v>0</v>
      </c>
      <c r="J33" s="266">
        <f t="shared" ref="J33:N33" si="6">J29*J53</f>
        <v>0</v>
      </c>
      <c r="K33" s="266">
        <f t="shared" si="6"/>
        <v>0</v>
      </c>
      <c r="L33" s="266">
        <f t="shared" si="6"/>
        <v>0</v>
      </c>
      <c r="M33" s="266">
        <f t="shared" si="6"/>
        <v>0</v>
      </c>
      <c r="N33" s="266">
        <f t="shared" si="6"/>
        <v>0</v>
      </c>
      <c r="O33" s="242"/>
      <c r="P33" s="499"/>
      <c r="Q33" s="116"/>
      <c r="R33" s="114"/>
      <c r="S33" s="111"/>
      <c r="T33" s="503"/>
      <c r="U33" s="503"/>
      <c r="V33" s="503"/>
      <c r="W33" s="503"/>
      <c r="X33" s="503"/>
      <c r="Y33" s="504"/>
    </row>
    <row r="34" spans="1:26" s="113" customFormat="1" ht="13.15" customHeight="1" x14ac:dyDescent="0.2">
      <c r="A34" s="112"/>
      <c r="B34" s="131" t="s">
        <v>35</v>
      </c>
      <c r="C34" s="131"/>
      <c r="D34" s="131"/>
      <c r="G34" s="268">
        <f t="shared" ref="G34:I34" si="7">G31-G33</f>
        <v>0</v>
      </c>
      <c r="H34" s="268">
        <f t="shared" si="7"/>
        <v>0</v>
      </c>
      <c r="I34" s="269">
        <f t="shared" si="7"/>
        <v>0</v>
      </c>
      <c r="J34" s="268">
        <f t="shared" ref="J34:N34" si="8">J31-J33</f>
        <v>0</v>
      </c>
      <c r="K34" s="268">
        <f t="shared" si="8"/>
        <v>0</v>
      </c>
      <c r="L34" s="268">
        <f t="shared" si="8"/>
        <v>0</v>
      </c>
      <c r="M34" s="268">
        <f t="shared" si="8"/>
        <v>0</v>
      </c>
      <c r="N34" s="268">
        <f t="shared" si="8"/>
        <v>0</v>
      </c>
      <c r="O34" s="242"/>
      <c r="P34" s="498" t="str">
        <f>IF(I34=0,"",RATE($N$27-$I$27,0,I34,-N34))</f>
        <v/>
      </c>
      <c r="Q34" s="116"/>
      <c r="R34" s="114"/>
      <c r="S34" s="114"/>
      <c r="T34" s="114"/>
      <c r="U34" s="114"/>
      <c r="V34" s="114"/>
      <c r="W34" s="114"/>
      <c r="X34" s="114"/>
      <c r="Y34" s="114"/>
      <c r="Z34" s="114"/>
    </row>
    <row r="35" spans="1:26" s="113" customFormat="1" ht="13.15" customHeight="1" x14ac:dyDescent="0.2">
      <c r="A35" s="112"/>
      <c r="B35" s="131" t="s">
        <v>36</v>
      </c>
      <c r="C35" s="131"/>
      <c r="D35" s="131"/>
      <c r="G35" s="264">
        <v>0</v>
      </c>
      <c r="H35" s="264">
        <v>0</v>
      </c>
      <c r="I35" s="265">
        <v>0</v>
      </c>
      <c r="J35" s="266">
        <f t="shared" ref="J35:N35" si="9">J56*J42</f>
        <v>0</v>
      </c>
      <c r="K35" s="266">
        <f t="shared" si="9"/>
        <v>0</v>
      </c>
      <c r="L35" s="266">
        <f t="shared" si="9"/>
        <v>0</v>
      </c>
      <c r="M35" s="266">
        <f t="shared" si="9"/>
        <v>0</v>
      </c>
      <c r="N35" s="266">
        <f t="shared" si="9"/>
        <v>0</v>
      </c>
      <c r="O35" s="242"/>
      <c r="P35" s="499"/>
      <c r="Q35" s="116"/>
      <c r="R35" s="114"/>
      <c r="S35" s="114"/>
      <c r="T35" s="114"/>
      <c r="U35" s="114"/>
      <c r="V35" s="114"/>
      <c r="W35" s="114"/>
      <c r="X35" s="114"/>
      <c r="Y35" s="114"/>
      <c r="Z35" s="114"/>
    </row>
    <row r="36" spans="1:26" s="113" customFormat="1" ht="13.15" customHeight="1" x14ac:dyDescent="0.2">
      <c r="A36" s="112"/>
      <c r="B36" s="131" t="s">
        <v>37</v>
      </c>
      <c r="C36" s="131"/>
      <c r="D36" s="131"/>
      <c r="G36" s="264">
        <v>0</v>
      </c>
      <c r="H36" s="264">
        <v>0</v>
      </c>
      <c r="I36" s="265">
        <v>0</v>
      </c>
      <c r="J36" s="266">
        <f t="shared" ref="J36:N36" si="10">-J58</f>
        <v>0</v>
      </c>
      <c r="K36" s="266">
        <f t="shared" si="10"/>
        <v>0</v>
      </c>
      <c r="L36" s="266">
        <f t="shared" si="10"/>
        <v>0</v>
      </c>
      <c r="M36" s="266">
        <f t="shared" si="10"/>
        <v>0</v>
      </c>
      <c r="N36" s="266">
        <f t="shared" si="10"/>
        <v>0</v>
      </c>
      <c r="O36" s="242"/>
      <c r="P36" s="499"/>
      <c r="Q36" s="116"/>
      <c r="R36" s="114"/>
      <c r="S36" s="153"/>
      <c r="T36" s="153"/>
    </row>
    <row r="37" spans="1:26" s="113" customFormat="1" ht="13.15" customHeight="1" x14ac:dyDescent="0.2">
      <c r="A37" s="112"/>
      <c r="B37" s="131" t="s">
        <v>38</v>
      </c>
      <c r="C37" s="131"/>
      <c r="D37" s="131"/>
      <c r="F37" s="138"/>
      <c r="G37" s="268">
        <f>SUM(G34:G36)</f>
        <v>0</v>
      </c>
      <c r="H37" s="268">
        <f t="shared" ref="H37:I37" si="11">SUM(H34:H36)</f>
        <v>0</v>
      </c>
      <c r="I37" s="269">
        <f t="shared" si="11"/>
        <v>0</v>
      </c>
      <c r="J37" s="268">
        <f t="shared" ref="J37:N37" si="12">SUM(J34:J36)</f>
        <v>0</v>
      </c>
      <c r="K37" s="268">
        <f t="shared" si="12"/>
        <v>0</v>
      </c>
      <c r="L37" s="268">
        <f t="shared" si="12"/>
        <v>0</v>
      </c>
      <c r="M37" s="268">
        <f t="shared" si="12"/>
        <v>0</v>
      </c>
      <c r="N37" s="268">
        <f t="shared" si="12"/>
        <v>0</v>
      </c>
      <c r="O37" s="242"/>
      <c r="P37" s="498" t="str">
        <f>IF(I37=0,"",RATE($N$27-$I$27,0,I37,-N37))</f>
        <v/>
      </c>
      <c r="Q37" s="116"/>
      <c r="R37" s="114"/>
      <c r="S37" s="153"/>
      <c r="T37" s="153"/>
    </row>
    <row r="38" spans="1:26" s="113" customFormat="1" ht="13.15" customHeight="1" x14ac:dyDescent="0.2">
      <c r="A38" s="112"/>
      <c r="B38" s="131" t="s">
        <v>39</v>
      </c>
      <c r="C38" s="131"/>
      <c r="D38" s="131"/>
      <c r="E38" s="142">
        <v>0.38</v>
      </c>
      <c r="G38" s="266">
        <f t="shared" ref="G38:I38" si="13">-G37*$E$38</f>
        <v>0</v>
      </c>
      <c r="H38" s="266">
        <f t="shared" si="13"/>
        <v>0</v>
      </c>
      <c r="I38" s="271">
        <f t="shared" si="13"/>
        <v>0</v>
      </c>
      <c r="J38" s="266">
        <f t="shared" ref="J38:N38" si="14">-J37*$E$38</f>
        <v>0</v>
      </c>
      <c r="K38" s="266">
        <f t="shared" si="14"/>
        <v>0</v>
      </c>
      <c r="L38" s="266">
        <f t="shared" si="14"/>
        <v>0</v>
      </c>
      <c r="M38" s="266">
        <f t="shared" si="14"/>
        <v>0</v>
      </c>
      <c r="N38" s="266">
        <f t="shared" si="14"/>
        <v>0</v>
      </c>
      <c r="O38" s="242"/>
      <c r="P38" s="499"/>
      <c r="Q38" s="116"/>
      <c r="R38" s="116"/>
    </row>
    <row r="39" spans="1:26" s="113" customFormat="1" ht="13.15" customHeight="1" x14ac:dyDescent="0.2">
      <c r="A39" s="354" t="s">
        <v>23</v>
      </c>
      <c r="B39" s="131" t="s">
        <v>40</v>
      </c>
      <c r="C39" s="131"/>
      <c r="D39" s="131"/>
      <c r="G39" s="268">
        <f>SUM(G37:G38)</f>
        <v>0</v>
      </c>
      <c r="H39" s="268">
        <f t="shared" ref="H39:I39" si="15">SUM(H37:H38)</f>
        <v>0</v>
      </c>
      <c r="I39" s="269">
        <f t="shared" si="15"/>
        <v>0</v>
      </c>
      <c r="J39" s="268">
        <f t="shared" ref="J39:N39" si="16">SUM(J37:J38)</f>
        <v>0</v>
      </c>
      <c r="K39" s="268">
        <f t="shared" si="16"/>
        <v>0</v>
      </c>
      <c r="L39" s="268">
        <f t="shared" si="16"/>
        <v>0</v>
      </c>
      <c r="M39" s="268">
        <f t="shared" si="16"/>
        <v>0</v>
      </c>
      <c r="N39" s="268">
        <f t="shared" si="16"/>
        <v>0</v>
      </c>
      <c r="O39" s="242"/>
      <c r="P39" s="498" t="str">
        <f>IF(I39=0,"",RATE($N$27-$I$27,0,I39,-N39))</f>
        <v/>
      </c>
      <c r="Q39" s="116"/>
      <c r="R39" s="114"/>
      <c r="S39" s="153"/>
      <c r="T39" s="153"/>
    </row>
    <row r="40" spans="1:26" s="113" customFormat="1" ht="6.4" customHeight="1" x14ac:dyDescent="0.2">
      <c r="A40" s="112"/>
      <c r="G40" s="270"/>
      <c r="H40" s="270"/>
      <c r="I40" s="271"/>
      <c r="J40" s="270"/>
      <c r="K40" s="270"/>
      <c r="L40" s="270"/>
      <c r="M40" s="270"/>
      <c r="N40" s="270"/>
      <c r="O40" s="242"/>
      <c r="P40" s="499"/>
      <c r="Q40" s="116"/>
      <c r="R40" s="114"/>
      <c r="S40" s="153"/>
      <c r="T40" s="153"/>
    </row>
    <row r="41" spans="1:26" s="113" customFormat="1" ht="13.15" customHeight="1" x14ac:dyDescent="0.2">
      <c r="A41" s="112"/>
      <c r="B41" s="131" t="s">
        <v>42</v>
      </c>
      <c r="C41" s="131"/>
      <c r="D41" s="131"/>
      <c r="G41" s="270"/>
      <c r="H41" s="270">
        <f t="shared" ref="H41:I41" si="17">-(H35+H36)</f>
        <v>0</v>
      </c>
      <c r="I41" s="271">
        <f t="shared" si="17"/>
        <v>0</v>
      </c>
      <c r="J41" s="270">
        <f t="shared" ref="J41:N41" si="18">-(J35+J36)</f>
        <v>0</v>
      </c>
      <c r="K41" s="270">
        <f t="shared" si="18"/>
        <v>0</v>
      </c>
      <c r="L41" s="270">
        <f t="shared" si="18"/>
        <v>0</v>
      </c>
      <c r="M41" s="270">
        <f t="shared" si="18"/>
        <v>0</v>
      </c>
      <c r="N41" s="270">
        <f t="shared" si="18"/>
        <v>0</v>
      </c>
      <c r="O41" s="242"/>
      <c r="P41" s="499"/>
      <c r="Q41" s="116"/>
      <c r="R41" s="114"/>
      <c r="S41" s="153"/>
      <c r="T41" s="153"/>
    </row>
    <row r="42" spans="1:26" s="113" customFormat="1" ht="13.15" customHeight="1" x14ac:dyDescent="0.2">
      <c r="A42" s="112"/>
      <c r="B42" s="131" t="s">
        <v>45</v>
      </c>
      <c r="C42" s="131"/>
      <c r="D42" s="131"/>
      <c r="G42" s="270"/>
      <c r="H42" s="264">
        <v>0</v>
      </c>
      <c r="I42" s="265">
        <v>0</v>
      </c>
      <c r="J42" s="266">
        <f>-J55*J29</f>
        <v>0</v>
      </c>
      <c r="K42" s="266">
        <f t="shared" ref="K42:N42" si="19">-K55*K29</f>
        <v>0</v>
      </c>
      <c r="L42" s="266">
        <f t="shared" si="19"/>
        <v>0</v>
      </c>
      <c r="M42" s="266">
        <f t="shared" si="19"/>
        <v>0</v>
      </c>
      <c r="N42" s="266">
        <f t="shared" si="19"/>
        <v>0</v>
      </c>
      <c r="O42" s="242"/>
      <c r="P42" s="499"/>
      <c r="Q42" s="116"/>
      <c r="R42" s="114"/>
      <c r="S42" s="153"/>
      <c r="T42" s="153"/>
    </row>
    <row r="43" spans="1:26" s="113" customFormat="1" ht="13.15" customHeight="1" x14ac:dyDescent="0.2">
      <c r="A43" s="112"/>
      <c r="B43" s="131" t="s">
        <v>49</v>
      </c>
      <c r="C43" s="131"/>
      <c r="D43" s="131"/>
      <c r="G43" s="270"/>
      <c r="H43" s="264">
        <v>0</v>
      </c>
      <c r="I43" s="265">
        <v>0</v>
      </c>
      <c r="J43" s="266">
        <f t="shared" ref="J43:N43" si="20">-J57</f>
        <v>0</v>
      </c>
      <c r="K43" s="266">
        <f t="shared" si="20"/>
        <v>0</v>
      </c>
      <c r="L43" s="266">
        <f t="shared" si="20"/>
        <v>0</v>
      </c>
      <c r="M43" s="266">
        <f t="shared" si="20"/>
        <v>0</v>
      </c>
      <c r="N43" s="266">
        <f t="shared" si="20"/>
        <v>0</v>
      </c>
      <c r="O43" s="242"/>
      <c r="P43" s="499"/>
      <c r="Q43" s="116"/>
      <c r="R43" s="114"/>
      <c r="S43" s="153"/>
      <c r="T43" s="153"/>
    </row>
    <row r="44" spans="1:26" s="113" customFormat="1" ht="13.15" customHeight="1" x14ac:dyDescent="0.2">
      <c r="A44" s="112"/>
      <c r="B44" s="146" t="s">
        <v>53</v>
      </c>
      <c r="C44" s="131"/>
      <c r="D44" s="131"/>
      <c r="E44" s="131"/>
      <c r="F44" s="131"/>
      <c r="G44" s="270"/>
      <c r="H44" s="264">
        <v>0</v>
      </c>
      <c r="I44" s="265">
        <v>0</v>
      </c>
      <c r="J44" s="266">
        <f t="shared" ref="J44:N44" si="21">J59*J29</f>
        <v>0</v>
      </c>
      <c r="K44" s="266">
        <f t="shared" si="21"/>
        <v>0</v>
      </c>
      <c r="L44" s="266">
        <f t="shared" si="21"/>
        <v>0</v>
      </c>
      <c r="M44" s="266">
        <f t="shared" si="21"/>
        <v>0</v>
      </c>
      <c r="N44" s="266">
        <f t="shared" si="21"/>
        <v>0</v>
      </c>
      <c r="O44" s="242"/>
      <c r="P44" s="499"/>
      <c r="Q44" s="147"/>
      <c r="R44" s="116"/>
    </row>
    <row r="45" spans="1:26" s="153" customFormat="1" ht="13.15" customHeight="1" x14ac:dyDescent="0.2">
      <c r="A45" s="354" t="s">
        <v>23</v>
      </c>
      <c r="B45" s="148" t="s">
        <v>54</v>
      </c>
      <c r="C45" s="148"/>
      <c r="D45" s="148"/>
      <c r="E45" s="114"/>
      <c r="F45" s="114"/>
      <c r="G45" s="277"/>
      <c r="H45" s="278">
        <f>SUM(H39:H44)</f>
        <v>0</v>
      </c>
      <c r="I45" s="279">
        <f>SUM(I39:I44)</f>
        <v>0</v>
      </c>
      <c r="J45" s="278">
        <f t="shared" ref="J45:N45" si="22">SUM(J39:J44)</f>
        <v>0</v>
      </c>
      <c r="K45" s="278">
        <f t="shared" si="22"/>
        <v>0</v>
      </c>
      <c r="L45" s="278">
        <f t="shared" si="22"/>
        <v>0</v>
      </c>
      <c r="M45" s="278">
        <f t="shared" si="22"/>
        <v>0</v>
      </c>
      <c r="N45" s="278">
        <f t="shared" si="22"/>
        <v>0</v>
      </c>
      <c r="O45" s="240"/>
      <c r="P45" s="500" t="str">
        <f>IF(I45=0,"",RATE($N$27-$I$27,0,I45,-N45))</f>
        <v/>
      </c>
      <c r="Q45" s="114"/>
      <c r="R45" s="114"/>
    </row>
    <row r="46" spans="1:26" s="153" customFormat="1" ht="13.15" customHeight="1" x14ac:dyDescent="0.2">
      <c r="A46" s="112"/>
      <c r="B46" s="148"/>
      <c r="C46" s="148"/>
      <c r="D46" s="148"/>
      <c r="E46" s="114"/>
      <c r="F46" s="114"/>
      <c r="G46" s="149"/>
      <c r="H46" s="151"/>
      <c r="I46" s="151"/>
      <c r="J46" s="151"/>
      <c r="K46" s="151"/>
      <c r="L46" s="151"/>
      <c r="M46" s="151"/>
      <c r="N46" s="151"/>
      <c r="O46" s="114"/>
      <c r="P46" s="152"/>
      <c r="Q46" s="114"/>
      <c r="R46" s="114"/>
    </row>
    <row r="47" spans="1:26" s="116" customFormat="1" ht="13.15" customHeight="1" x14ac:dyDescent="0.2">
      <c r="A47" s="112"/>
      <c r="B47" s="154"/>
      <c r="C47" s="154"/>
      <c r="D47" s="154"/>
      <c r="E47" s="122"/>
      <c r="F47" s="122"/>
      <c r="H47" s="155"/>
      <c r="I47" s="155"/>
      <c r="J47" s="155"/>
      <c r="K47" s="155"/>
      <c r="L47" s="155"/>
      <c r="M47" s="155"/>
      <c r="N47" s="155"/>
    </row>
    <row r="48" spans="1:26" s="113" customFormat="1" ht="12.75" customHeight="1" x14ac:dyDescent="0.2">
      <c r="A48" s="112"/>
      <c r="G48" s="125" t="s">
        <v>28</v>
      </c>
      <c r="H48" s="126"/>
      <c r="I48" s="127"/>
      <c r="J48" s="125" t="s">
        <v>29</v>
      </c>
      <c r="K48" s="128"/>
      <c r="L48" s="128"/>
      <c r="M48" s="128"/>
      <c r="N48" s="129"/>
    </row>
    <row r="49" spans="1:21" s="113" customFormat="1" ht="13.15" customHeight="1" x14ac:dyDescent="0.2">
      <c r="A49" s="112"/>
      <c r="B49" s="156" t="s">
        <v>55</v>
      </c>
      <c r="G49" s="379">
        <f t="shared" ref="G49:N49" si="23">G27</f>
        <v>2013</v>
      </c>
      <c r="H49" s="379">
        <f t="shared" si="23"/>
        <v>2014</v>
      </c>
      <c r="I49" s="380">
        <f t="shared" si="23"/>
        <v>2015</v>
      </c>
      <c r="J49" s="379">
        <f t="shared" si="23"/>
        <v>2016</v>
      </c>
      <c r="K49" s="379">
        <f t="shared" si="23"/>
        <v>2017</v>
      </c>
      <c r="L49" s="379">
        <f t="shared" si="23"/>
        <v>2018</v>
      </c>
      <c r="M49" s="379">
        <f t="shared" si="23"/>
        <v>2019</v>
      </c>
      <c r="N49" s="379">
        <f t="shared" si="23"/>
        <v>2020</v>
      </c>
      <c r="P49" s="116"/>
      <c r="Q49" s="157" t="s">
        <v>56</v>
      </c>
    </row>
    <row r="50" spans="1:21" s="113" customFormat="1" ht="12.75" customHeight="1" x14ac:dyDescent="0.2">
      <c r="A50" s="112"/>
      <c r="G50" s="116"/>
      <c r="H50" s="116"/>
      <c r="I50" s="95"/>
      <c r="J50" s="116"/>
      <c r="K50" s="116"/>
      <c r="L50" s="116"/>
      <c r="M50" s="116"/>
      <c r="N50" s="116"/>
      <c r="P50" s="116"/>
      <c r="S50" s="143" t="s">
        <v>41</v>
      </c>
      <c r="T50" s="140"/>
      <c r="U50" s="141"/>
    </row>
    <row r="51" spans="1:21" s="116" customFormat="1" ht="13.15" customHeight="1" x14ac:dyDescent="0.2">
      <c r="A51" s="112"/>
      <c r="C51" s="158" t="s">
        <v>57</v>
      </c>
      <c r="G51" s="534"/>
      <c r="H51" s="263">
        <f t="shared" ref="H51:I51" si="24">IF(H29=0,0,H29/G29-1)</f>
        <v>0</v>
      </c>
      <c r="I51" s="292">
        <f t="shared" si="24"/>
        <v>0</v>
      </c>
      <c r="J51" s="293">
        <v>0</v>
      </c>
      <c r="K51" s="263">
        <f t="shared" ref="K51:N53" si="25">J51+$Q51</f>
        <v>0</v>
      </c>
      <c r="L51" s="263">
        <f t="shared" si="25"/>
        <v>0</v>
      </c>
      <c r="M51" s="263">
        <f t="shared" si="25"/>
        <v>0</v>
      </c>
      <c r="N51" s="263">
        <f t="shared" si="25"/>
        <v>0</v>
      </c>
      <c r="Q51" s="160">
        <v>0</v>
      </c>
      <c r="S51" s="144"/>
      <c r="T51" s="220" t="s">
        <v>43</v>
      </c>
      <c r="U51" s="221" t="s">
        <v>44</v>
      </c>
    </row>
    <row r="52" spans="1:21" s="113" customFormat="1" ht="13.15" customHeight="1" x14ac:dyDescent="0.2">
      <c r="A52" s="112"/>
      <c r="B52" s="116"/>
      <c r="C52" s="158" t="s">
        <v>58</v>
      </c>
      <c r="F52" s="116"/>
      <c r="G52" s="263">
        <f>IF(G29=0,0,G30/G29)</f>
        <v>0</v>
      </c>
      <c r="H52" s="263">
        <f t="shared" ref="H52:I52" si="26">IF(H29=0,0,H30/H29)</f>
        <v>0</v>
      </c>
      <c r="I52" s="292">
        <f t="shared" si="26"/>
        <v>0</v>
      </c>
      <c r="J52" s="293">
        <v>0</v>
      </c>
      <c r="K52" s="263">
        <f t="shared" si="25"/>
        <v>0</v>
      </c>
      <c r="L52" s="263">
        <f t="shared" si="25"/>
        <v>0</v>
      </c>
      <c r="M52" s="263">
        <f t="shared" si="25"/>
        <v>0</v>
      </c>
      <c r="N52" s="263">
        <f t="shared" si="25"/>
        <v>0</v>
      </c>
      <c r="Q52" s="160">
        <v>0</v>
      </c>
      <c r="S52" s="216" t="s">
        <v>46</v>
      </c>
      <c r="T52" s="218" t="s">
        <v>47</v>
      </c>
      <c r="U52" s="217" t="s">
        <v>48</v>
      </c>
    </row>
    <row r="53" spans="1:21" s="113" customFormat="1" ht="13.15" customHeight="1" x14ac:dyDescent="0.2">
      <c r="A53" s="112"/>
      <c r="B53" s="116"/>
      <c r="C53" s="158" t="s">
        <v>59</v>
      </c>
      <c r="F53" s="116"/>
      <c r="G53" s="263">
        <f t="shared" ref="G53:I53" si="27">IF(G29=0,0,G33/G29)</f>
        <v>0</v>
      </c>
      <c r="H53" s="263">
        <f t="shared" si="27"/>
        <v>0</v>
      </c>
      <c r="I53" s="292">
        <f t="shared" si="27"/>
        <v>0</v>
      </c>
      <c r="J53" s="293">
        <v>0</v>
      </c>
      <c r="K53" s="263">
        <f t="shared" si="25"/>
        <v>0</v>
      </c>
      <c r="L53" s="263">
        <f t="shared" si="25"/>
        <v>0</v>
      </c>
      <c r="M53" s="263">
        <f t="shared" si="25"/>
        <v>0</v>
      </c>
      <c r="N53" s="263">
        <f t="shared" si="25"/>
        <v>0</v>
      </c>
      <c r="Q53" s="160">
        <v>0</v>
      </c>
      <c r="S53" s="215" t="s">
        <v>50</v>
      </c>
      <c r="T53" s="219" t="s">
        <v>51</v>
      </c>
      <c r="U53" s="145" t="s">
        <v>52</v>
      </c>
    </row>
    <row r="54" spans="1:21" s="113" customFormat="1" ht="13.15" customHeight="1" x14ac:dyDescent="0.2">
      <c r="A54" s="112"/>
      <c r="C54" s="161" t="s">
        <v>60</v>
      </c>
      <c r="G54" s="263">
        <f t="shared" ref="G54:N54" si="28">IF(G29=0,0,G34/G29)</f>
        <v>0</v>
      </c>
      <c r="H54" s="263">
        <f t="shared" si="28"/>
        <v>0</v>
      </c>
      <c r="I54" s="292">
        <f t="shared" si="28"/>
        <v>0</v>
      </c>
      <c r="J54" s="263">
        <f t="shared" si="28"/>
        <v>0</v>
      </c>
      <c r="K54" s="263">
        <f t="shared" si="28"/>
        <v>0</v>
      </c>
      <c r="L54" s="263">
        <f t="shared" si="28"/>
        <v>0</v>
      </c>
      <c r="M54" s="263">
        <f t="shared" si="28"/>
        <v>0</v>
      </c>
      <c r="N54" s="263">
        <f t="shared" si="28"/>
        <v>0</v>
      </c>
      <c r="Q54" s="160"/>
    </row>
    <row r="55" spans="1:21" s="113" customFormat="1" ht="13.15" customHeight="1" x14ac:dyDescent="0.2">
      <c r="A55" s="112"/>
      <c r="C55" s="161" t="s">
        <v>61</v>
      </c>
      <c r="G55" s="238"/>
      <c r="H55" s="263">
        <f>IF(H29=0,0,-H42/H29)</f>
        <v>0</v>
      </c>
      <c r="I55" s="292">
        <f>IF(I29=0,0,-I42/I29)</f>
        <v>0</v>
      </c>
      <c r="J55" s="293">
        <v>0</v>
      </c>
      <c r="K55" s="263">
        <f t="shared" ref="K55:N55" si="29">J55+$Q55</f>
        <v>0</v>
      </c>
      <c r="L55" s="263">
        <f t="shared" si="29"/>
        <v>0</v>
      </c>
      <c r="M55" s="263">
        <f t="shared" si="29"/>
        <v>0</v>
      </c>
      <c r="N55" s="263">
        <f t="shared" si="29"/>
        <v>0</v>
      </c>
      <c r="Q55" s="160">
        <v>0</v>
      </c>
    </row>
    <row r="56" spans="1:21" s="113" customFormat="1" ht="13.15" customHeight="1" x14ac:dyDescent="0.2">
      <c r="A56" s="112"/>
      <c r="C56" s="161" t="s">
        <v>62</v>
      </c>
      <c r="G56" s="304"/>
      <c r="H56" s="263">
        <f>IF(H42=0,0,H35/H42)</f>
        <v>0</v>
      </c>
      <c r="I56" s="292">
        <f>IF(I42=0,0,I35/I42)</f>
        <v>0</v>
      </c>
      <c r="J56" s="293">
        <v>0</v>
      </c>
      <c r="K56" s="263">
        <f t="shared" ref="K56:N59" si="30">J56+$Q56</f>
        <v>0</v>
      </c>
      <c r="L56" s="263">
        <f t="shared" si="30"/>
        <v>0</v>
      </c>
      <c r="M56" s="263">
        <f t="shared" si="30"/>
        <v>0</v>
      </c>
      <c r="N56" s="263">
        <f t="shared" si="30"/>
        <v>0</v>
      </c>
      <c r="Q56" s="160">
        <v>0</v>
      </c>
    </row>
    <row r="57" spans="1:21" s="113" customFormat="1" ht="13.15" customHeight="1" x14ac:dyDescent="0.2">
      <c r="A57" s="112"/>
      <c r="C57" s="161" t="s">
        <v>63</v>
      </c>
      <c r="G57" s="238"/>
      <c r="H57" s="305">
        <f>-H43</f>
        <v>0</v>
      </c>
      <c r="I57" s="306">
        <f>-I43</f>
        <v>0</v>
      </c>
      <c r="J57" s="307">
        <v>0</v>
      </c>
      <c r="K57" s="308">
        <f t="shared" si="30"/>
        <v>0</v>
      </c>
      <c r="L57" s="308">
        <f t="shared" si="30"/>
        <v>0</v>
      </c>
      <c r="M57" s="308">
        <f t="shared" si="30"/>
        <v>0</v>
      </c>
      <c r="N57" s="308">
        <f t="shared" si="30"/>
        <v>0</v>
      </c>
      <c r="Q57" s="164">
        <v>0</v>
      </c>
      <c r="U57" s="166"/>
    </row>
    <row r="58" spans="1:21" s="113" customFormat="1" ht="13.15" customHeight="1" x14ac:dyDescent="0.2">
      <c r="A58" s="112"/>
      <c r="C58" s="161" t="s">
        <v>64</v>
      </c>
      <c r="G58" s="238"/>
      <c r="H58" s="270">
        <f>-H36</f>
        <v>0</v>
      </c>
      <c r="I58" s="271">
        <f>-I36</f>
        <v>0</v>
      </c>
      <c r="J58" s="310">
        <v>0</v>
      </c>
      <c r="K58" s="549">
        <f t="shared" si="30"/>
        <v>0</v>
      </c>
      <c r="L58" s="549">
        <f t="shared" si="30"/>
        <v>0</v>
      </c>
      <c r="M58" s="549">
        <f t="shared" si="30"/>
        <v>0</v>
      </c>
      <c r="N58" s="549">
        <f t="shared" si="30"/>
        <v>0</v>
      </c>
      <c r="Q58" s="167">
        <v>0</v>
      </c>
    </row>
    <row r="59" spans="1:21" s="113" customFormat="1" ht="13.15" customHeight="1" x14ac:dyDescent="0.2">
      <c r="A59" s="112"/>
      <c r="C59" s="161" t="s">
        <v>65</v>
      </c>
      <c r="G59" s="225"/>
      <c r="H59" s="263">
        <f>IF(H29=0,0,H44/H29)</f>
        <v>0</v>
      </c>
      <c r="I59" s="292">
        <f>IF(I29=0,0,I44/I29)</f>
        <v>0</v>
      </c>
      <c r="J59" s="293">
        <v>0</v>
      </c>
      <c r="K59" s="263">
        <f t="shared" si="30"/>
        <v>0</v>
      </c>
      <c r="L59" s="263">
        <f t="shared" si="30"/>
        <v>0</v>
      </c>
      <c r="M59" s="263">
        <f t="shared" si="30"/>
        <v>0</v>
      </c>
      <c r="N59" s="263">
        <f t="shared" si="30"/>
        <v>0</v>
      </c>
      <c r="Q59" s="160">
        <v>0</v>
      </c>
    </row>
    <row r="60" spans="1:21" s="113" customFormat="1" ht="13.15" customHeight="1" x14ac:dyDescent="0.2">
      <c r="A60" s="112"/>
      <c r="B60" s="105"/>
      <c r="C60" s="105"/>
      <c r="D60" s="105"/>
      <c r="E60" s="105"/>
      <c r="G60" s="131"/>
      <c r="H60" s="162"/>
      <c r="I60" s="162"/>
      <c r="J60" s="169"/>
      <c r="K60" s="170"/>
      <c r="L60" s="170"/>
      <c r="M60" s="170"/>
      <c r="N60" s="170"/>
      <c r="Q60" s="105"/>
    </row>
    <row r="61" spans="1:21" ht="13.15" customHeight="1" x14ac:dyDescent="0.2">
      <c r="A61" s="112"/>
      <c r="C61" s="171" t="s">
        <v>66</v>
      </c>
      <c r="D61" s="172"/>
      <c r="E61" s="173"/>
      <c r="F61" s="173"/>
      <c r="G61" s="174">
        <v>0.08</v>
      </c>
      <c r="I61" s="175" t="s">
        <v>67</v>
      </c>
      <c r="J61" s="176"/>
      <c r="K61" s="177"/>
      <c r="L61" s="177"/>
      <c r="M61" s="177"/>
      <c r="N61" s="178"/>
    </row>
    <row r="62" spans="1:21" ht="13.15" customHeight="1" x14ac:dyDescent="0.2">
      <c r="A62" s="112"/>
      <c r="C62" s="179" t="s">
        <v>68</v>
      </c>
      <c r="D62" s="180"/>
      <c r="E62" s="155"/>
      <c r="F62" s="155"/>
      <c r="G62" s="181">
        <v>0.03</v>
      </c>
      <c r="J62" s="182"/>
      <c r="K62" s="183" t="s">
        <v>57</v>
      </c>
      <c r="L62" s="184"/>
      <c r="M62" s="184"/>
      <c r="N62" s="184"/>
      <c r="Q62" s="185" t="s">
        <v>69</v>
      </c>
      <c r="R62" s="186" t="s">
        <v>70</v>
      </c>
    </row>
    <row r="63" spans="1:21" ht="13.15" customHeight="1" x14ac:dyDescent="0.2">
      <c r="A63" s="112"/>
      <c r="J63" s="187">
        <f>G74</f>
        <v>0</v>
      </c>
      <c r="K63" s="188">
        <v>0.03</v>
      </c>
      <c r="L63" s="189">
        <f>K63+$R$63</f>
        <v>3.4999999999999996E-2</v>
      </c>
      <c r="M63" s="189">
        <f>L63+$R$63</f>
        <v>3.9999999999999994E-2</v>
      </c>
      <c r="N63" s="189">
        <f>M63+$R$63</f>
        <v>4.4999999999999991E-2</v>
      </c>
      <c r="Q63" s="190">
        <v>3.0000000000000001E-3</v>
      </c>
      <c r="R63" s="190">
        <v>5.0000000000000001E-3</v>
      </c>
    </row>
    <row r="64" spans="1:21" ht="13.15" customHeight="1" x14ac:dyDescent="0.2">
      <c r="A64" s="112"/>
      <c r="C64" s="131" t="s">
        <v>71</v>
      </c>
      <c r="D64" s="131"/>
      <c r="E64" s="113"/>
      <c r="F64" s="113"/>
      <c r="G64" s="305">
        <f>NPV(G61,J45:N45)</f>
        <v>0</v>
      </c>
      <c r="J64" s="139">
        <f>J65-$Q$63</f>
        <v>0.76800000000000002</v>
      </c>
      <c r="K64" s="191">
        <f t="dataTable" ref="K64:N72" dt2D="1" dtr="1" r1="J51" r2="J52" ca="1"/>
        <v>0</v>
      </c>
      <c r="L64" s="192">
        <v>0</v>
      </c>
      <c r="M64" s="192">
        <v>0</v>
      </c>
      <c r="N64" s="193">
        <v>0</v>
      </c>
    </row>
    <row r="65" spans="1:22" ht="13.15" customHeight="1" x14ac:dyDescent="0.2">
      <c r="A65" s="112"/>
      <c r="C65" s="194" t="s">
        <v>72</v>
      </c>
      <c r="D65" s="194"/>
      <c r="E65" s="116"/>
      <c r="F65" s="116"/>
      <c r="G65" s="335">
        <f>(N45*(1+G62)) / (G61-G62)</f>
        <v>0</v>
      </c>
      <c r="J65" s="189">
        <f>J66-$Q$63</f>
        <v>0.77100000000000002</v>
      </c>
      <c r="K65" s="196">
        <v>0</v>
      </c>
      <c r="L65" s="197">
        <v>0</v>
      </c>
      <c r="M65" s="197">
        <v>0</v>
      </c>
      <c r="N65" s="198">
        <v>0</v>
      </c>
      <c r="Q65" s="551" t="str">
        <f>"Steps to complete the data table"</f>
        <v>Steps to complete the data table</v>
      </c>
      <c r="R65" s="552"/>
      <c r="S65" s="552"/>
      <c r="T65" s="552"/>
      <c r="U65" s="552"/>
      <c r="V65" s="553"/>
    </row>
    <row r="66" spans="1:22" ht="13.15" customHeight="1" x14ac:dyDescent="0.2">
      <c r="A66" s="112"/>
      <c r="C66" s="131" t="s">
        <v>73</v>
      </c>
      <c r="D66" s="131"/>
      <c r="E66" s="113"/>
      <c r="F66" s="113"/>
      <c r="G66" s="270">
        <f>PV(G61,5,0,-G65)</f>
        <v>0</v>
      </c>
      <c r="I66" s="199"/>
      <c r="J66" s="189">
        <f>J67-$Q$63</f>
        <v>0.77400000000000002</v>
      </c>
      <c r="K66" s="196">
        <v>0</v>
      </c>
      <c r="L66" s="197">
        <v>0</v>
      </c>
      <c r="M66" s="197">
        <v>0</v>
      </c>
      <c r="N66" s="198">
        <v>0</v>
      </c>
      <c r="Q66" s="554" t="str">
        <f>"1) Link the ''Output Cell'' "&amp;ADDRESS(ROW(J63),COLUMN(J63),4) &amp;" to the cell you want to ''study'' "&amp;ADDRESS(ROW(G74),COLUMN(G74),4)</f>
        <v>1) Link the ''Output Cell'' J63 to the cell you want to ''study'' G74</v>
      </c>
      <c r="R66" s="200"/>
      <c r="S66" s="200"/>
      <c r="T66" s="200"/>
      <c r="U66" s="200"/>
      <c r="V66" s="555"/>
    </row>
    <row r="67" spans="1:22" ht="13.15" customHeight="1" x14ac:dyDescent="0.2">
      <c r="A67" s="112"/>
      <c r="C67" s="201" t="s">
        <v>74</v>
      </c>
      <c r="D67" s="201"/>
      <c r="E67" s="202"/>
      <c r="F67" s="202"/>
      <c r="G67" s="342">
        <f>G64 + G66</f>
        <v>0</v>
      </c>
      <c r="J67" s="189">
        <f>J68-$Q$63</f>
        <v>0.77700000000000002</v>
      </c>
      <c r="K67" s="196">
        <v>0</v>
      </c>
      <c r="L67" s="197">
        <v>0</v>
      </c>
      <c r="M67" s="197">
        <v>0</v>
      </c>
      <c r="N67" s="198">
        <v>0</v>
      </c>
      <c r="Q67" s="554" t="str">
        <f>"2) Highlight the range "&amp;ADDRESS(ROW(J63),COLUMN(J63),4)&amp;":"&amp;ADDRESS(ROW(N72),COLUMN(N72),4)</f>
        <v>2) Highlight the range J63:N72</v>
      </c>
      <c r="R67" s="200"/>
      <c r="S67" s="200"/>
      <c r="T67" s="200"/>
      <c r="U67" s="200"/>
      <c r="V67" s="555"/>
    </row>
    <row r="68" spans="1:22" ht="13.15" customHeight="1" x14ac:dyDescent="0.2">
      <c r="A68" s="112"/>
      <c r="C68" s="113" t="s">
        <v>75</v>
      </c>
      <c r="D68" s="131"/>
      <c r="E68" s="113"/>
      <c r="F68" s="113"/>
      <c r="G68" s="203">
        <v>0</v>
      </c>
      <c r="I68" s="204" t="s">
        <v>76</v>
      </c>
      <c r="J68" s="142">
        <v>0.78</v>
      </c>
      <c r="K68" s="196">
        <v>0</v>
      </c>
      <c r="L68" s="197">
        <v>0</v>
      </c>
      <c r="M68" s="197">
        <v>0</v>
      </c>
      <c r="N68" s="198">
        <v>0</v>
      </c>
      <c r="Q68" s="554" t="s">
        <v>77</v>
      </c>
      <c r="R68" s="200"/>
      <c r="S68" s="200"/>
      <c r="T68" s="200"/>
      <c r="U68" s="200"/>
      <c r="V68" s="555"/>
    </row>
    <row r="69" spans="1:22" ht="13.15" customHeight="1" x14ac:dyDescent="0.2">
      <c r="A69" s="112"/>
      <c r="C69" s="113" t="s">
        <v>78</v>
      </c>
      <c r="D69" s="131"/>
      <c r="E69" s="113"/>
      <c r="F69" s="113"/>
      <c r="G69" s="167">
        <v>0</v>
      </c>
      <c r="J69" s="189">
        <f>J68+$Q$63</f>
        <v>0.78300000000000003</v>
      </c>
      <c r="K69" s="196">
        <v>0</v>
      </c>
      <c r="L69" s="197">
        <v>0</v>
      </c>
      <c r="M69" s="197">
        <v>0</v>
      </c>
      <c r="N69" s="198">
        <v>0</v>
      </c>
      <c r="Q69" s="560" t="s">
        <v>104</v>
      </c>
      <c r="R69" s="200"/>
      <c r="S69" s="200"/>
      <c r="T69" s="200"/>
      <c r="U69" s="200"/>
      <c r="V69" s="555"/>
    </row>
    <row r="70" spans="1:22" ht="13.15" customHeight="1" x14ac:dyDescent="0.2">
      <c r="A70" s="112"/>
      <c r="C70" s="201" t="s">
        <v>79</v>
      </c>
      <c r="D70" s="201"/>
      <c r="E70" s="202"/>
      <c r="F70" s="202"/>
      <c r="G70" s="342">
        <f>SUM(G67:G69)</f>
        <v>0</v>
      </c>
      <c r="J70" s="189">
        <f>J69+$Q$63</f>
        <v>0.78600000000000003</v>
      </c>
      <c r="K70" s="196">
        <v>0</v>
      </c>
      <c r="L70" s="197">
        <v>0</v>
      </c>
      <c r="M70" s="197">
        <v>0</v>
      </c>
      <c r="N70" s="198">
        <v>0</v>
      </c>
      <c r="Q70" s="560" t="s">
        <v>80</v>
      </c>
      <c r="R70" s="200"/>
      <c r="S70" s="200"/>
      <c r="T70" s="200"/>
      <c r="U70" s="200"/>
      <c r="V70" s="555"/>
    </row>
    <row r="71" spans="1:22" ht="13.15" customHeight="1" x14ac:dyDescent="0.2">
      <c r="A71" s="112"/>
      <c r="G71" s="225"/>
      <c r="J71" s="189">
        <f>J70+$Q$63</f>
        <v>0.78900000000000003</v>
      </c>
      <c r="K71" s="196">
        <v>0</v>
      </c>
      <c r="L71" s="197">
        <v>0</v>
      </c>
      <c r="M71" s="197">
        <v>0</v>
      </c>
      <c r="N71" s="198">
        <v>0</v>
      </c>
      <c r="Q71" s="560" t="s">
        <v>81</v>
      </c>
      <c r="R71" s="200"/>
      <c r="S71" s="200"/>
      <c r="T71" s="200"/>
      <c r="U71" s="200"/>
      <c r="V71" s="555"/>
    </row>
    <row r="72" spans="1:22" ht="13.15" customHeight="1" thickBot="1" x14ac:dyDescent="0.25">
      <c r="A72" s="112"/>
      <c r="D72" s="113"/>
      <c r="E72" s="113"/>
      <c r="F72" s="205" t="s">
        <v>82</v>
      </c>
      <c r="G72" s="346">
        <v>0</v>
      </c>
      <c r="J72" s="189">
        <f>J71+$Q$63</f>
        <v>0.79200000000000004</v>
      </c>
      <c r="K72" s="207">
        <v>0</v>
      </c>
      <c r="L72" s="208">
        <v>0</v>
      </c>
      <c r="M72" s="208">
        <v>0</v>
      </c>
      <c r="N72" s="209">
        <v>0</v>
      </c>
      <c r="Q72" s="554" t="str">
        <f>"4) Row input cell select "&amp;ADDRESS(ROW(J51),COLUMN(J51),4)&amp;". Column input cell select "&amp;ADDRESS(ROW(J52),COLUMN(J52),4)</f>
        <v>4) Row input cell select J51. Column input cell select J52</v>
      </c>
      <c r="R72" s="200"/>
      <c r="S72" s="200"/>
      <c r="T72" s="200"/>
      <c r="U72" s="200"/>
      <c r="V72" s="555"/>
    </row>
    <row r="73" spans="1:22" ht="13.15" customHeight="1" thickTop="1" x14ac:dyDescent="0.2">
      <c r="A73" s="112"/>
      <c r="D73" s="194"/>
      <c r="E73" s="116"/>
      <c r="F73" s="116"/>
      <c r="G73" s="242"/>
      <c r="Q73" s="556" t="s">
        <v>83</v>
      </c>
      <c r="R73" s="200"/>
      <c r="S73" s="200"/>
      <c r="T73" s="200"/>
      <c r="U73" s="200"/>
      <c r="V73" s="555"/>
    </row>
    <row r="74" spans="1:22" ht="13.15" customHeight="1" thickBot="1" x14ac:dyDescent="0.25">
      <c r="A74" s="354" t="s">
        <v>23</v>
      </c>
      <c r="B74" s="354"/>
      <c r="D74" s="210"/>
      <c r="E74" s="211"/>
      <c r="F74" s="212" t="s">
        <v>84</v>
      </c>
      <c r="G74" s="353">
        <f>IF(G72=0,0,G70 / G72)</f>
        <v>0</v>
      </c>
      <c r="Q74" s="561" t="s">
        <v>85</v>
      </c>
      <c r="R74" s="558"/>
      <c r="S74" s="558"/>
      <c r="T74" s="558"/>
      <c r="U74" s="558"/>
      <c r="V74" s="559"/>
    </row>
    <row r="75" spans="1:22" ht="13.15" customHeight="1" thickTop="1" x14ac:dyDescent="0.2">
      <c r="A75" s="354"/>
      <c r="B75" s="354"/>
    </row>
    <row r="76" spans="1:22" ht="13.15" customHeight="1" x14ac:dyDescent="0.2">
      <c r="A76" s="354"/>
      <c r="B76" s="354"/>
      <c r="Q76" s="551" t="str">
        <f>"Adding Conditional Formatting"</f>
        <v>Adding Conditional Formatting</v>
      </c>
      <c r="R76" s="552"/>
      <c r="S76" s="552"/>
      <c r="T76" s="552"/>
      <c r="U76" s="552"/>
      <c r="V76" s="553"/>
    </row>
    <row r="77" spans="1:22" ht="13.15" customHeight="1" x14ac:dyDescent="0.2">
      <c r="A77" s="354"/>
      <c r="B77" s="354"/>
      <c r="Q77" s="554" t="str">
        <f>"1) Highlight the range "&amp;ADDRESS(ROW(K64),COLUMN(K64),4)&amp;":"&amp;ADDRESS(ROW(N72),COLUMN(N72),4)</f>
        <v>1) Highlight the range K64:N72</v>
      </c>
      <c r="R77" s="200"/>
      <c r="S77" s="200"/>
      <c r="T77" s="200"/>
      <c r="U77" s="200"/>
      <c r="V77" s="555"/>
    </row>
    <row r="78" spans="1:22" ht="13.15" customHeight="1" x14ac:dyDescent="0.2">
      <c r="A78" s="354"/>
      <c r="B78" s="354"/>
      <c r="Q78" s="556" t="s">
        <v>200</v>
      </c>
      <c r="R78" s="200"/>
      <c r="S78" s="200"/>
      <c r="T78" s="200"/>
      <c r="U78" s="200"/>
      <c r="V78" s="555"/>
    </row>
    <row r="79" spans="1:22" ht="13.15" customHeight="1" x14ac:dyDescent="0.2">
      <c r="A79" s="354"/>
      <c r="B79" s="354"/>
      <c r="Q79" s="556" t="s">
        <v>202</v>
      </c>
      <c r="R79" s="200"/>
      <c r="S79" s="200"/>
      <c r="T79" s="200"/>
      <c r="U79" s="200"/>
      <c r="V79" s="555"/>
    </row>
    <row r="80" spans="1:22" ht="13.15" customHeight="1" x14ac:dyDescent="0.2">
      <c r="A80" s="354"/>
      <c r="B80" s="354"/>
      <c r="Q80" s="557" t="s">
        <v>201</v>
      </c>
      <c r="R80" s="558"/>
      <c r="S80" s="558"/>
      <c r="T80" s="558"/>
      <c r="U80" s="558"/>
      <c r="V80" s="559"/>
    </row>
    <row r="81" spans="1:2" ht="13.15" customHeight="1" x14ac:dyDescent="0.2">
      <c r="A81" s="354"/>
      <c r="B81" s="354"/>
    </row>
    <row r="82" spans="1:2" ht="13.15" customHeight="1" x14ac:dyDescent="0.2">
      <c r="A82" s="354" t="s">
        <v>23</v>
      </c>
      <c r="B82" s="354" t="s">
        <v>86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G61:G62" name="Range1"/>
    <protectedRange sqref="G65" name="Range1_1_1"/>
  </protectedRanges>
  <conditionalFormatting sqref="J45:N45">
    <cfRule type="cellIs" dxfId="19" priority="19" stopIfTrue="1" operator="equal">
      <formula>0.000001</formula>
    </cfRule>
  </conditionalFormatting>
  <conditionalFormatting sqref="J29:N29">
    <cfRule type="cellIs" dxfId="18" priority="18" stopIfTrue="1" operator="equal">
      <formula>0.000001</formula>
    </cfRule>
  </conditionalFormatting>
  <conditionalFormatting sqref="J30:N30">
    <cfRule type="cellIs" dxfId="17" priority="17" stopIfTrue="1" operator="equal">
      <formula>0.000001</formula>
    </cfRule>
  </conditionalFormatting>
  <conditionalFormatting sqref="J33:N33">
    <cfRule type="cellIs" dxfId="16" priority="16" stopIfTrue="1" operator="equal">
      <formula>0.000001</formula>
    </cfRule>
  </conditionalFormatting>
  <conditionalFormatting sqref="J35:N35">
    <cfRule type="cellIs" dxfId="15" priority="15" stopIfTrue="1" operator="equal">
      <formula>0.000001</formula>
    </cfRule>
  </conditionalFormatting>
  <conditionalFormatting sqref="G64:G67">
    <cfRule type="cellIs" dxfId="14" priority="3" stopIfTrue="1" operator="equal">
      <formula>0.000001</formula>
    </cfRule>
  </conditionalFormatting>
  <conditionalFormatting sqref="G70">
    <cfRule type="cellIs" dxfId="13" priority="2" stopIfTrue="1" operator="equal">
      <formula>0.000001</formula>
    </cfRule>
  </conditionalFormatting>
  <conditionalFormatting sqref="J31:N31">
    <cfRule type="cellIs" dxfId="12" priority="23" stopIfTrue="1" operator="equal">
      <formula>0.000001</formula>
    </cfRule>
  </conditionalFormatting>
  <conditionalFormatting sqref="J34:N34">
    <cfRule type="cellIs" dxfId="11" priority="22" stopIfTrue="1" operator="equal">
      <formula>0.000001</formula>
    </cfRule>
  </conditionalFormatting>
  <conditionalFormatting sqref="J37:N37">
    <cfRule type="cellIs" dxfId="10" priority="21" stopIfTrue="1" operator="equal">
      <formula>0.000001</formula>
    </cfRule>
  </conditionalFormatting>
  <conditionalFormatting sqref="J39:N39">
    <cfRule type="cellIs" dxfId="9" priority="20" stopIfTrue="1" operator="equal">
      <formula>0.000001</formula>
    </cfRule>
  </conditionalFormatting>
  <conditionalFormatting sqref="J36:N36">
    <cfRule type="cellIs" dxfId="8" priority="14" stopIfTrue="1" operator="equal">
      <formula>0.000001</formula>
    </cfRule>
  </conditionalFormatting>
  <conditionalFormatting sqref="P29 P31 P34 P37 P39 P45">
    <cfRule type="cellIs" dxfId="7" priority="13" stopIfTrue="1" operator="equal">
      <formula>0.000001</formula>
    </cfRule>
  </conditionalFormatting>
  <conditionalFormatting sqref="G31:I31">
    <cfRule type="cellIs" dxfId="6" priority="12" stopIfTrue="1" operator="equal">
      <formula>0.000001</formula>
    </cfRule>
  </conditionalFormatting>
  <conditionalFormatting sqref="G34:I34">
    <cfRule type="cellIs" dxfId="5" priority="11" stopIfTrue="1" operator="equal">
      <formula>0.000001</formula>
    </cfRule>
  </conditionalFormatting>
  <conditionalFormatting sqref="G37:I37">
    <cfRule type="cellIs" dxfId="4" priority="10" stopIfTrue="1" operator="equal">
      <formula>0.000001</formula>
    </cfRule>
  </conditionalFormatting>
  <conditionalFormatting sqref="G39:I39">
    <cfRule type="cellIs" dxfId="3" priority="9" stopIfTrue="1" operator="equal">
      <formula>0.000001</formula>
    </cfRule>
  </conditionalFormatting>
  <conditionalFormatting sqref="H45:I45">
    <cfRule type="cellIs" dxfId="2" priority="8" stopIfTrue="1" operator="equal">
      <formula>0.000001</formula>
    </cfRule>
  </conditionalFormatting>
  <conditionalFormatting sqref="G52:I52 H51:I51 G54:N54">
    <cfRule type="cellIs" dxfId="1" priority="7" stopIfTrue="1" operator="equal">
      <formula>0.000001</formula>
    </cfRule>
  </conditionalFormatting>
  <conditionalFormatting sqref="G74">
    <cfRule type="cellIs" dxfId="0" priority="1" stopIfTrue="1" operator="equal">
      <formula>0.000001</formula>
    </cfRule>
  </conditionalFormatting>
  <pageMargins left="0.75" right="0.75" top="0.65" bottom="0.65" header="0.5" footer="0.25"/>
  <pageSetup scale="77" orientation="landscape" r:id="rId1"/>
  <headerFooter alignWithMargins="0">
    <oddFooter>&amp;C&amp;8&amp;G&amp;R&amp;8For training purposes only!&amp;L&amp;8COPYRIGHT 2016 © by Training The Street, Inc</oddFoot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TTS</vt:lpstr>
      <vt:lpstr>INPUTS</vt:lpstr>
      <vt:lpstr>Overview</vt:lpstr>
      <vt:lpstr>Steps 1-2</vt:lpstr>
      <vt:lpstr>Steps 3-6</vt:lpstr>
      <vt:lpstr>Steps 7-10</vt:lpstr>
      <vt:lpstr>Steps 11-17</vt:lpstr>
      <vt:lpstr>DCF Solution</vt:lpstr>
      <vt:lpstr>DCF Template</vt:lpstr>
      <vt:lpstr>Company</vt:lpstr>
      <vt:lpstr>FYE</vt:lpstr>
      <vt:lpstr>'DCF Solution'!Print_Area</vt:lpstr>
      <vt:lpstr>'DCF Template'!Print_Area</vt:lpstr>
      <vt:lpstr>INPUTS!Print_Area</vt:lpstr>
      <vt:lpstr>Overview!Print_Area</vt:lpstr>
      <vt:lpstr>'Steps 11-17'!Print_Area</vt:lpstr>
      <vt:lpstr>'Steps 1-2'!Print_Area</vt:lpstr>
      <vt:lpstr>'Steps 3-6'!Print_Area</vt:lpstr>
      <vt:lpstr>'Steps 7-10'!Print_Area</vt:lpstr>
      <vt:lpstr>Subheader</vt:lpstr>
      <vt:lpstr>TTS</vt:lpstr>
    </vt:vector>
  </TitlesOfParts>
  <Company>TTS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 The Street</dc:creator>
  <cp:lastModifiedBy>Kris Kapoor</cp:lastModifiedBy>
  <cp:lastPrinted>2016-08-22T17:02:07Z</cp:lastPrinted>
  <dcterms:created xsi:type="dcterms:W3CDTF">2014-01-29T23:41:12Z</dcterms:created>
  <dcterms:modified xsi:type="dcterms:W3CDTF">2021-10-20T17:04:17Z</dcterms:modified>
</cp:coreProperties>
</file>